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encana Kerja" sheetId="2" state="visible" r:id="rId4"/>
    <sheet name="Effort per Minggu" sheetId="3" state="visible" r:id="rId5"/>
    <sheet name="RAID" sheetId="4" state="visible" r:id="rId6"/>
    <sheet name="Exit Criteria" sheetId="5" state="visible" r:id="rId7"/>
  </sheets>
  <definedNames>
    <definedName function="false" hidden="true" localSheetId="1" name="_xlnm._FilterDatabase" vbProcedure="false">'Rencana Kerja'!$A$4:$J$53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<sst xmlns="http://schemas.openxmlformats.org/spreadsheetml/2006/main" count="656" uniqueCount="329">
  <si>
    <t xml:space="preserve">NEOTRACE Fase 3 &amp; 4 — Rencana Kerja</t>
  </si>
  <si>
    <t xml:space="preserve">PT Neopangan Selaras Indonesia (Neofood) · Sauce Division · Fase 3: 6 minggu · Fase 4: 8 minggu</t>
  </si>
  <si>
    <t xml:space="preserve">Fase 3 — tujuan</t>
  </si>
  <si>
    <t xml:space="preserve">Menaikkan produktivitas gudang lewat wave picking, dan memberi manajemen angka yang bisa dipakai: KPI tenaga kerja, perputaran stok, barang mati</t>
  </si>
  <si>
    <t xml:space="preserve">Fase 3 — jadwal</t>
  </si>
  <si>
    <t xml:space="preserve">11 Jan 2027 – 19 Feb 2027 · 6 minggu</t>
  </si>
  <si>
    <t xml:space="preserve">Fase 3 — lingkup</t>
  </si>
  <si>
    <t xml:space="preserve">Wave/zone/cluster picking, sesi kerja &amp; KPI, klasifikasi ABC, turnover, slow moving, utilisasi gudang, ops scorecard</t>
  </si>
  <si>
    <t xml:space="preserve">Fase 4 — tujuan</t>
  </si>
  <si>
    <t xml:space="preserve">Menghentikan input ganda antara NEOTRACE dan ERP, serta memberi dasar perencanaan pembelian dari data konsumsi nyata</t>
  </si>
  <si>
    <t xml:space="preserve">Fase 4 — jadwal</t>
  </si>
  <si>
    <t xml:space="preserve">08 Mar 2027 – 30 Apr 2027 · 8 minggu</t>
  </si>
  <si>
    <t xml:space="preserve">Fase 4 — lingkup</t>
  </si>
  <si>
    <t xml:space="preserve">Pola outbox/inbox, pemetaan ID, idempotensi &amp; retry, monitor kesehatan sinkronisasi, riwayat konsumsi, musiman, peramalan, reorder point</t>
  </si>
  <si>
    <t xml:space="preserve">Jeda antar fase</t>
  </si>
  <si>
    <t xml:space="preserve">Fase 3 mulai 5 minggu setelah go-live Fase 2 (libur akhir tahun). Fase 4 mulai 2 minggu setelah Fase 3 stabil.</t>
  </si>
  <si>
    <t xml:space="preserve">Tim</t>
  </si>
  <si>
    <t xml:space="preserve">Fase 3: 1 Tech Lead, 2 Dev, 1 BA/QA. Fase 4: 1 Tech Lead, 1 Dev, 1 Integrator ERP, 1 BA/QA, 1 Planner Neofood</t>
  </si>
  <si>
    <t xml:space="preserve">KEPUTUSAN WAJIB SEBELUM FASE 4</t>
  </si>
  <si>
    <t xml:space="preserve">Bila Neofood akan mengadopsi ERP penuh, Fase 4 mungkin tidak perlu dibangun — lihat sheet RAID baris R41. Keputusan ini harus diambil sebelum Fase 3 selesai.</t>
  </si>
  <si>
    <t xml:space="preserve">Milestone</t>
  </si>
  <si>
    <t xml:space="preserve">Fase</t>
  </si>
  <si>
    <t xml:space="preserve">Minggu</t>
  </si>
  <si>
    <t xml:space="preserve">Tanggal</t>
  </si>
  <si>
    <t xml:space="preserve">Kriteria selesai</t>
  </si>
  <si>
    <t xml:space="preserve">Status</t>
  </si>
  <si>
    <t xml:space="preserve">F3</t>
  </si>
  <si>
    <t xml:space="preserve">11 Jan – 15 Jan 2027</t>
  </si>
  <si>
    <t xml:space="preserve">Baseline produktivitas</t>
  </si>
  <si>
    <t xml:space="preserve">Waktu pick dan dock-to-stock sebelum wave picking terukur sebagai pembanding</t>
  </si>
  <si>
    <t xml:space="preserve">Belum</t>
  </si>
  <si>
    <t xml:space="preserve">18 Jan – 22 Jan 2027</t>
  </si>
  <si>
    <t xml:space="preserve">Wave picking jalan</t>
  </si>
  <si>
    <t xml:space="preserve">Gelombang dari 3+ batch terbit, terurut satu jalur, tote per batch</t>
  </si>
  <si>
    <t xml:space="preserve">25 Jan – 29 Jan 2027</t>
  </si>
  <si>
    <t xml:space="preserve">Sesi kerja tercatat</t>
  </si>
  <si>
    <t xml:space="preserve">Clock in/out per tugas berjalan di HP tanpa menambah beban operator</t>
  </si>
  <si>
    <t xml:space="preserve">01 Feb – 05 Feb 2027</t>
  </si>
  <si>
    <t xml:space="preserve">Dasbor analitik</t>
  </si>
  <si>
    <t xml:space="preserve">ABC, turnover, slow moving, utilisasi tampil di konsol desktop</t>
  </si>
  <si>
    <t xml:space="preserve">08 Feb – 12 Feb 2027</t>
  </si>
  <si>
    <t xml:space="preserve">UAT lulus</t>
  </si>
  <si>
    <t xml:space="preserve">0 defect Critical/High; wave picking terbukti tidak lebih lambat dari discrete</t>
  </si>
  <si>
    <t xml:space="preserve">15 Feb – 19 Feb 2027</t>
  </si>
  <si>
    <t xml:space="preserve">Go-live + hypercare</t>
  </si>
  <si>
    <t xml:space="preserve">Wave picking dipakai penuh 5 hari kerja</t>
  </si>
  <si>
    <t xml:space="preserve">F4</t>
  </si>
  <si>
    <t xml:space="preserve">08 Mar – 12 Mar 2027</t>
  </si>
  <si>
    <t xml:space="preserve">Kontrak data disepakati</t>
  </si>
  <si>
    <t xml:space="preserve">Pemilik data per entitas ditetapkan hitam di atas putih dengan tim ERP</t>
  </si>
  <si>
    <t xml:space="preserve">15 Mar – 19 Mar 2027</t>
  </si>
  <si>
    <t xml:space="preserve">Endpoint &amp; pemetaan</t>
  </si>
  <si>
    <t xml:space="preserve">Master item, partner, lokasi terpetakan dua arah di sandbox ERP</t>
  </si>
  <si>
    <t xml:space="preserve">29 Mar – 02 Apr 2027</t>
  </si>
  <si>
    <t xml:space="preserve">Outbox jalan di sandbox</t>
  </si>
  <si>
    <t xml:space="preserve">GRN, DO, dan batch terkirim ke ERP sandbox tanpa dokumen ganda</t>
  </si>
  <si>
    <t xml:space="preserve">05 Apr – 09 Apr 2027</t>
  </si>
  <si>
    <t xml:space="preserve">Peramalan pertama</t>
  </si>
  <si>
    <t xml:space="preserve">Forecast bulan berikut terbit; akurasi diukur terhadap realisasi historis</t>
  </si>
  <si>
    <t xml:space="preserve">19 Apr – 23 Apr 2027</t>
  </si>
  <si>
    <t xml:space="preserve">UAT &amp; rekonsiliasi</t>
  </si>
  <si>
    <t xml:space="preserve">Angka di ERP cocok dengan NEOTRACE untuk 1 bulan penuh data paralel</t>
  </si>
  <si>
    <t xml:space="preserve">26 Apr – 30 Apr 2027</t>
  </si>
  <si>
    <t xml:space="preserve">Input ganda dihentikan; monitor kesehatan sinkronisasi aktif</t>
  </si>
  <si>
    <t xml:space="preserve">Rencana Kerja Fase 3 &amp; 4</t>
  </si>
  <si>
    <t xml:space="preserve">Effort dalam mandays. Kolom Fase memisahkan kedua fase.</t>
  </si>
  <si>
    <t xml:space="preserve">ID</t>
  </si>
  <si>
    <t xml:space="preserve">Workstream</t>
  </si>
  <si>
    <t xml:space="preserve">Tugas</t>
  </si>
  <si>
    <t xml:space="preserve">Deliverable</t>
  </si>
  <si>
    <t xml:space="preserve">PIC</t>
  </si>
  <si>
    <t xml:space="preserve">Effort (md)</t>
  </si>
  <si>
    <t xml:space="preserve">Depends</t>
  </si>
  <si>
    <t xml:space="preserve">W01</t>
  </si>
  <si>
    <t xml:space="preserve">Analisis</t>
  </si>
  <si>
    <t xml:space="preserve">Ukur baseline: waktu pick, jarak tempuh, dock-to-stock sebelum perubahan</t>
  </si>
  <si>
    <t xml:space="preserve">Laporan baseline</t>
  </si>
  <si>
    <t xml:space="preserve">BA/QA</t>
  </si>
  <si>
    <t xml:space="preserve">W02</t>
  </si>
  <si>
    <t xml:space="preserve">Database</t>
  </si>
  <si>
    <t xml:space="preserve">Jalankan neotrace_phase3_delta.sql di staging</t>
  </si>
  <si>
    <t xml:space="preserve">Skema Fase 3</t>
  </si>
  <si>
    <t xml:space="preserve">Tech Lead</t>
  </si>
  <si>
    <t xml:space="preserve">W03</t>
  </si>
  <si>
    <t xml:space="preserve">Data</t>
  </si>
  <si>
    <t xml:space="preserve">Tetapkan zona pick dan aturan pengelompokan gelombang</t>
  </si>
  <si>
    <t xml:space="preserve">Aturan wave</t>
  </si>
  <si>
    <t xml:space="preserve">W04</t>
  </si>
  <si>
    <t xml:space="preserve">Jalankan classify_abc() dan validasi hasil bersama planner</t>
  </si>
  <si>
    <t xml:space="preserve">Kelas ABC</t>
  </si>
  <si>
    <t xml:space="preserve">W05</t>
  </si>
  <si>
    <t xml:space="preserve">Backend</t>
  </si>
  <si>
    <t xml:space="preserve">Uji generate_wave untuk 3-5 batch, strategi BATCH dan ZONE</t>
  </si>
  <si>
    <t xml:space="preserve">Hasil uji</t>
  </si>
  <si>
    <t xml:space="preserve">Dev 1</t>
  </si>
  <si>
    <t xml:space="preserve">W06</t>
  </si>
  <si>
    <t xml:space="preserve">Frontend</t>
  </si>
  <si>
    <t xml:space="preserve">Konsol desktop: bentuk gelombang, pilih batch, tugaskan petugas</t>
  </si>
  <si>
    <t xml:space="preserve">Layar wave</t>
  </si>
  <si>
    <t xml:space="preserve">W07</t>
  </si>
  <si>
    <t xml:space="preserve">Lembar kerja gelombang di HP: satu berhenti per rak, bagi ke tote</t>
  </si>
  <si>
    <t xml:space="preserve">Layar wave pick</t>
  </si>
  <si>
    <t xml:space="preserve">Dev 2</t>
  </si>
  <si>
    <t xml:space="preserve">W08</t>
  </si>
  <si>
    <t xml:space="preserve">Proses</t>
  </si>
  <si>
    <t xml:space="preserve">Siapkan troli multi-tote dan penandaannya</t>
  </si>
  <si>
    <t xml:space="preserve">Troli siap</t>
  </si>
  <si>
    <t xml:space="preserve">Supervisor Gudang</t>
  </si>
  <si>
    <t xml:space="preserve">W09</t>
  </si>
  <si>
    <t xml:space="preserve">Clock in/out sesi kerja terintegrasi ke alur pick &amp; put-away</t>
  </si>
  <si>
    <t xml:space="preserve">Modul sesi</t>
  </si>
  <si>
    <t xml:space="preserve">W10</t>
  </si>
  <si>
    <t xml:space="preserve">Penanganan sesi menggantung &amp; satu sesi terbuka per orang</t>
  </si>
  <si>
    <t xml:space="preserve">Aturan sesi</t>
  </si>
  <si>
    <t xml:space="preserve">W11</t>
  </si>
  <si>
    <t xml:space="preserve">Layar supervisor: siapa mengerjakan apa saat ini</t>
  </si>
  <si>
    <t xml:space="preserve">Papan sesi</t>
  </si>
  <si>
    <t xml:space="preserve">W12</t>
  </si>
  <si>
    <t xml:space="preserve">Sosialisasi KPI: dipakai untuk coaching, bukan sanksi</t>
  </si>
  <si>
    <t xml:space="preserve">Materi sosialisasi</t>
  </si>
  <si>
    <t xml:space="preserve">W13</t>
  </si>
  <si>
    <t xml:space="preserve">Dasbor turnover, days on hand, slow moving</t>
  </si>
  <si>
    <t xml:space="preserve">Dashboard</t>
  </si>
  <si>
    <t xml:space="preserve">W14</t>
  </si>
  <si>
    <t xml:space="preserve">Dasbor utilisasi gudang &amp; ops scorecard</t>
  </si>
  <si>
    <t xml:space="preserve">W15</t>
  </si>
  <si>
    <t xml:space="preserve">Dasbor KPI tenaga kerja &amp; kinerja gelombang</t>
  </si>
  <si>
    <t xml:space="preserve">W16</t>
  </si>
  <si>
    <t xml:space="preserve">Interpretasi awal: barang mati &amp; rekomendasi tindakan ke planner</t>
  </si>
  <si>
    <t xml:space="preserve">Laporan analitik</t>
  </si>
  <si>
    <t xml:space="preserve">W17</t>
  </si>
  <si>
    <t xml:space="preserve">QA</t>
  </si>
  <si>
    <t xml:space="preserve">Eksekusi UAT Fase 3</t>
  </si>
  <si>
    <t xml:space="preserve">Hasil UAT</t>
  </si>
  <si>
    <t xml:space="preserve">W18</t>
  </si>
  <si>
    <t xml:space="preserve">Dev</t>
  </si>
  <si>
    <t xml:space="preserve">Perbaikan defect Critical &amp; High</t>
  </si>
  <si>
    <t xml:space="preserve">Defect ditutup</t>
  </si>
  <si>
    <t xml:space="preserve">W19</t>
  </si>
  <si>
    <t xml:space="preserve">Bandingkan produktivitas wave vs discrete terhadap baseline</t>
  </si>
  <si>
    <t xml:space="preserve">Laporan pembanding</t>
  </si>
  <si>
    <t xml:space="preserve">W20</t>
  </si>
  <si>
    <t xml:space="preserve">Deploy produksi + jadwal cron ABC bulanan</t>
  </si>
  <si>
    <t xml:space="preserve">Produksi siap</t>
  </si>
  <si>
    <t xml:space="preserve">W21</t>
  </si>
  <si>
    <t xml:space="preserve">Go-live</t>
  </si>
  <si>
    <t xml:space="preserve">Cutover wave picking</t>
  </si>
  <si>
    <t xml:space="preserve">Sistem live</t>
  </si>
  <si>
    <t xml:space="preserve">Semua</t>
  </si>
  <si>
    <t xml:space="preserve">W22</t>
  </si>
  <si>
    <t xml:space="preserve">Hypercare</t>
  </si>
  <si>
    <t xml:space="preserve">Pendampingan lantai gudang</t>
  </si>
  <si>
    <t xml:space="preserve">Log isu</t>
  </si>
  <si>
    <t xml:space="preserve">W23</t>
  </si>
  <si>
    <t xml:space="preserve">Review pasca go-live + backlog Fase 4</t>
  </si>
  <si>
    <t xml:space="preserve">Laporan penutup</t>
  </si>
  <si>
    <t xml:space="preserve">E01</t>
  </si>
  <si>
    <t xml:space="preserve">Arsitektur</t>
  </si>
  <si>
    <t xml:space="preserve">Workshop kontrak data: tetapkan pemilik data per entitas dengan tim ERP</t>
  </si>
  <si>
    <t xml:space="preserve">Kontrak data</t>
  </si>
  <si>
    <t xml:space="preserve">E02</t>
  </si>
  <si>
    <t xml:space="preserve">Tentukan arah &amp; pemicu sinkronisasi per entitas</t>
  </si>
  <si>
    <t xml:space="preserve">Matriks integrasi</t>
  </si>
  <si>
    <t xml:space="preserve">Integrator ERP</t>
  </si>
  <si>
    <t xml:space="preserve">E03</t>
  </si>
  <si>
    <t xml:space="preserve">Jalankan neotrace_phase4_delta.sql di staging</t>
  </si>
  <si>
    <t xml:space="preserve">Skema Fase 4</t>
  </si>
  <si>
    <t xml:space="preserve">E04</t>
  </si>
  <si>
    <t xml:space="preserve">Integrasi</t>
  </si>
  <si>
    <t xml:space="preserve">Siapkan akses &amp; kredensial ERP sandbox</t>
  </si>
  <si>
    <t xml:space="preserve">Akses sandbox</t>
  </si>
  <si>
    <t xml:space="preserve">E05</t>
  </si>
  <si>
    <t xml:space="preserve">Pemetaan master: item, partner, lokasi, satuan</t>
  </si>
  <si>
    <t xml:space="preserve">entity_mappings terisi</t>
  </si>
  <si>
    <t xml:space="preserve">E06</t>
  </si>
  <si>
    <t xml:space="preserve">Worker sinkronisasi (Edge Function) dengan claim, ack, retry</t>
  </si>
  <si>
    <t xml:space="preserve">Worker</t>
  </si>
  <si>
    <t xml:space="preserve">E07</t>
  </si>
  <si>
    <t xml:space="preserve">Uji idempotensi: retry tidak menghasilkan dokumen ganda</t>
  </si>
  <si>
    <t xml:space="preserve">E08</t>
  </si>
  <si>
    <t xml:space="preserve">Kirim GRN ke ERP sandbox end-to-end</t>
  </si>
  <si>
    <t xml:space="preserve">GRN tersinkron</t>
  </si>
  <si>
    <t xml:space="preserve">E05,E06</t>
  </si>
  <si>
    <t xml:space="preserve">E09</t>
  </si>
  <si>
    <t xml:space="preserve">Kirim DO ke ERP sandbox end-to-end</t>
  </si>
  <si>
    <t xml:space="preserve">DO tersinkron</t>
  </si>
  <si>
    <t xml:space="preserve">E10</t>
  </si>
  <si>
    <t xml:space="preserve">Monitor kesehatan sinkronisasi di konsol admin</t>
  </si>
  <si>
    <t xml:space="preserve">Layar monitor</t>
  </si>
  <si>
    <t xml:space="preserve">E11</t>
  </si>
  <si>
    <t xml:space="preserve">Kirim penutupan batch beserta HPP ke ERP</t>
  </si>
  <si>
    <t xml:space="preserve">Batch tersinkron</t>
  </si>
  <si>
    <t xml:space="preserve">E12</t>
  </si>
  <si>
    <t xml:space="preserve">Inbox: terima perubahan master item &amp; partner dari ERP</t>
  </si>
  <si>
    <t xml:space="preserve">Inbox jalan</t>
  </si>
  <si>
    <t xml:space="preserve">E13</t>
  </si>
  <si>
    <t xml:space="preserve">Skenario UAT integrasi termasuk kasus gagal &amp; retry</t>
  </si>
  <si>
    <t xml:space="preserve">Skrip UAT</t>
  </si>
  <si>
    <t xml:space="preserve">E14</t>
  </si>
  <si>
    <t xml:space="preserve">Bersihkan &amp; validasi riwayat konsumsi untuk peramalan</t>
  </si>
  <si>
    <t xml:space="preserve">Data bersih</t>
  </si>
  <si>
    <t xml:space="preserve">E15</t>
  </si>
  <si>
    <t xml:space="preserve">Jalankan forecast_moving_average &amp; backfill realisasi</t>
  </si>
  <si>
    <t xml:space="preserve">Forecast terbit</t>
  </si>
  <si>
    <t xml:space="preserve">E16</t>
  </si>
  <si>
    <t xml:space="preserve">Layar peramalan &amp; saran pemesanan ulang</t>
  </si>
  <si>
    <t xml:space="preserve">Layar forecast</t>
  </si>
  <si>
    <t xml:space="preserve">E17</t>
  </si>
  <si>
    <t xml:space="preserve">Tetapkan lead time &amp; safety stock per item bersama planner</t>
  </si>
  <si>
    <t xml:space="preserve">reorder_points terisi</t>
  </si>
  <si>
    <t xml:space="preserve">Planner Neofood</t>
  </si>
  <si>
    <t xml:space="preserve">E18</t>
  </si>
  <si>
    <t xml:space="preserve">Ukur akurasi peramalan terhadap 6 bulan data historis</t>
  </si>
  <si>
    <t xml:space="preserve">Laporan akurasi</t>
  </si>
  <si>
    <t xml:space="preserve">E19</t>
  </si>
  <si>
    <t xml:space="preserve">Uji beban: 1 bulan dokumen dikirim sekaligus</t>
  </si>
  <si>
    <t xml:space="preserve">Hasil uji beban</t>
  </si>
  <si>
    <t xml:space="preserve">E20</t>
  </si>
  <si>
    <t xml:space="preserve">Penanganan pesan DEAD &amp; prosedur intervensi manual</t>
  </si>
  <si>
    <t xml:space="preserve">Prosedur</t>
  </si>
  <si>
    <t xml:space="preserve">E21</t>
  </si>
  <si>
    <t xml:space="preserve">Jalankan paralel: input ganda 1 bulan, rekonsiliasi angka</t>
  </si>
  <si>
    <t xml:space="preserve">Laporan rekonsiliasi</t>
  </si>
  <si>
    <t xml:space="preserve">E22</t>
  </si>
  <si>
    <t xml:space="preserve">E23</t>
  </si>
  <si>
    <t xml:space="preserve">Sign-off dari finance &amp; tim ERP</t>
  </si>
  <si>
    <t xml:space="preserve">Berita acara</t>
  </si>
  <si>
    <t xml:space="preserve">E24</t>
  </si>
  <si>
    <t xml:space="preserve">Cutover: hentikan input ganda</t>
  </si>
  <si>
    <t xml:space="preserve">E25</t>
  </si>
  <si>
    <t xml:space="preserve">Pantau antrean sinkronisasi harian</t>
  </si>
  <si>
    <t xml:space="preserve">Log harian</t>
  </si>
  <si>
    <t xml:space="preserve">E26</t>
  </si>
  <si>
    <t xml:space="preserve">Review penutup program &amp; serah terima ke tim internal</t>
  </si>
  <si>
    <t xml:space="preserve">Dokumen serah terima</t>
  </si>
  <si>
    <t xml:space="preserve">TOTAL EFFORT</t>
  </si>
  <si>
    <t xml:space="preserve">Beban Kerja per Minggu</t>
  </si>
  <si>
    <t xml:space="preserve">Kapasitas 5 md per orang per minggu. Angka di atas 5 berarti overload.</t>
  </si>
  <si>
    <t xml:space="preserve">Dev 1 / Dev</t>
  </si>
  <si>
    <t xml:space="preserve">22 Mar – 26 Mar 2027</t>
  </si>
  <si>
    <t xml:space="preserve">12 Apr – 16 Apr 2027</t>
  </si>
  <si>
    <t xml:space="preserve">Pada Fase 4 kolom 'Dev 1 / Dev' berisi satu developer. Tugas ber-PIC 'Semua', 'Supervisor Gudang', dan 'Planner Neofood' tidak masuk kolom di atas.</t>
  </si>
  <si>
    <t xml:space="preserve">RAID Log — Fase 3 &amp; 4</t>
  </si>
  <si>
    <t xml:space="preserve">R Risiko · A Asumsi · I Isu · D Dependensi</t>
  </si>
  <si>
    <t xml:space="preserve">Tipe</t>
  </si>
  <si>
    <t xml:space="preserve">Uraian</t>
  </si>
  <si>
    <t xml:space="preserve">Dampak</t>
  </si>
  <si>
    <t xml:space="preserve">Prob.</t>
  </si>
  <si>
    <t xml:space="preserve">Mitigasi / tindakan</t>
  </si>
  <si>
    <t xml:space="preserve">Owner</t>
  </si>
  <si>
    <t xml:space="preserve">R31</t>
  </si>
  <si>
    <t xml:space="preserve">Risiko</t>
  </si>
  <si>
    <t xml:space="preserve">Wave picking justru lebih lambat karena troli multi-tote sulit di lorong sempit</t>
  </si>
  <si>
    <t xml:space="preserve">Tinggi</t>
  </si>
  <si>
    <t xml:space="preserve">Sedang</t>
  </si>
  <si>
    <t xml:space="preserve">Ukur baseline dulu (W01); uji satu lorong sebelum diterapkan penuh; siapkan opsi kembali ke discrete</t>
  </si>
  <si>
    <t xml:space="preserve">R32</t>
  </si>
  <si>
    <t xml:space="preserve">KPI individu dipakai untuk menekan atau menyanksi petugas</t>
  </si>
  <si>
    <t xml:space="preserve">Sosialisasi eksplisit (W12); tampilkan KPI tim sebagai default, individu hanya untuk supervisor</t>
  </si>
  <si>
    <t xml:space="preserve">PO Neofood</t>
  </si>
  <si>
    <t xml:space="preserve">R33</t>
  </si>
  <si>
    <t xml:space="preserve">Bahan antar tote tertukar di troli</t>
  </si>
  <si>
    <t xml:space="preserve">Kode tote dicetak besar; konfirmasi scan tetap per baris; audit acak minggu pertama</t>
  </si>
  <si>
    <t xml:space="preserve">R34</t>
  </si>
  <si>
    <t xml:space="preserve">Klasifikasi ABC salah karena data pemakaian belum 12 bulan penuh</t>
  </si>
  <si>
    <t xml:space="preserve">Tandai hasil sebagai indikatif sampai data 12 bulan tersedia; validasi manual dengan planner</t>
  </si>
  <si>
    <t xml:space="preserve">R41</t>
  </si>
  <si>
    <t xml:space="preserve">Fase 4 membangun ulang fungsi yang sudah ada di ERP</t>
  </si>
  <si>
    <t xml:space="preserve">KEPUTUSAN STRATEGIS: bila Neofood mengadopsi ERP penuh, batalkan Fase 4 dan migrasikan. Putuskan sebelum Fase 3 selesai.</t>
  </si>
  <si>
    <t xml:space="preserve">R42</t>
  </si>
  <si>
    <t xml:space="preserve">Dokumen ganda di ERP akibat retry</t>
  </si>
  <si>
    <t xml:space="preserve">Idempotency_key + entity_mappings; uji khusus E07 sebelum menyentuh produksi</t>
  </si>
  <si>
    <t xml:space="preserve">R43</t>
  </si>
  <si>
    <t xml:space="preserve">Dua sistem sama-sama merasa memiliki data yang sama</t>
  </si>
  <si>
    <t xml:space="preserve">Kontrak data tertulis (E01) menetapkan satu pemilik per entitas sebelum satu baris kode ditulis</t>
  </si>
  <si>
    <t xml:space="preserve">R44</t>
  </si>
  <si>
    <t xml:space="preserve">Peramalan dipakai sebagai angka perencanaan padahal datanya belum cukup</t>
  </si>
  <si>
    <t xml:space="preserve">Tampilkan MAPE di layar; sembunyikan saran reorder untuk item dengan data &lt; 12 bulan</t>
  </si>
  <si>
    <t xml:space="preserve">R45</t>
  </si>
  <si>
    <t xml:space="preserve">Antrean sinkronisasi menumpuk tanpa disadari</t>
  </si>
  <si>
    <t xml:space="preserve">Monitor v_sync_health + notifikasi CRITICAL saat status DEAD; cek harian saat hypercare</t>
  </si>
  <si>
    <t xml:space="preserve">A31</t>
  </si>
  <si>
    <t xml:space="preserve">Asumsi</t>
  </si>
  <si>
    <t xml:space="preserve">Fase 2 stabil dan put-away serta picking sudah jadi kebiasaan</t>
  </si>
  <si>
    <t xml:space="preserve">-</t>
  </si>
  <si>
    <t xml:space="preserve">Bila masih banyak fallback manual, Fase 3 ditunda</t>
  </si>
  <si>
    <t xml:space="preserve">A41</t>
  </si>
  <si>
    <t xml:space="preserve">ERP tujuan punya API yang bisa menerima dokumen dari luar</t>
  </si>
  <si>
    <t xml:space="preserve">Belum diverifikasi. Konfirmasi ke tim ERP sebelum kickoff Fase 4</t>
  </si>
  <si>
    <t xml:space="preserve">A42</t>
  </si>
  <si>
    <t xml:space="preserve">Tersedia lingkungan sandbox ERP untuk uji selama 8 minggu</t>
  </si>
  <si>
    <t xml:space="preserve">Konfirmasi ketersediaan dan masa aktif sandbox</t>
  </si>
  <si>
    <t xml:space="preserve">D31</t>
  </si>
  <si>
    <t xml:space="preserve">Dependensi</t>
  </si>
  <si>
    <t xml:space="preserve">Troli multi-tote tersedia sebelum Minggu 2</t>
  </si>
  <si>
    <t xml:space="preserve">Pengadaan oleh Neofood</t>
  </si>
  <si>
    <t xml:space="preserve">D41</t>
  </si>
  <si>
    <t xml:space="preserve">Waktu tim ERP untuk workshop kontrak data dan pengujian</t>
  </si>
  <si>
    <t xml:space="preserve">Blok jadwal bersama sebelum kickoff</t>
  </si>
  <si>
    <t xml:space="preserve">D42</t>
  </si>
  <si>
    <t xml:space="preserve">Data konsumsi minimal 12 bulan dari Fase 1</t>
  </si>
  <si>
    <t xml:space="preserve">Fase 1 mulai Agu 2026, jadi data 12 bulan baru lengkap Agu 2027 — peramalan awal bersifat indikatif</t>
  </si>
  <si>
    <t xml:space="preserve">Kriteria Go-Live Fase 3 &amp; 4</t>
  </si>
  <si>
    <t xml:space="preserve">Semua baris wajib Ya sebelum cutover masing-masing fase.</t>
  </si>
  <si>
    <t xml:space="preserve">No</t>
  </si>
  <si>
    <t xml:space="preserve">Kriteria</t>
  </si>
  <si>
    <t xml:space="preserve">Bukti</t>
  </si>
  <si>
    <t xml:space="preserve">Penanggung jawab</t>
  </si>
  <si>
    <t xml:space="preserve">Terpenuhi</t>
  </si>
  <si>
    <t xml:space="preserve">Wave picking terbukti tidak lebih lambat dari discrete</t>
  </si>
  <si>
    <t xml:space="preserve">Laporan pembanding vs baseline</t>
  </si>
  <si>
    <t xml:space="preserve">0 kejadian bahan tertukar antar tote pada uji coba</t>
  </si>
  <si>
    <t xml:space="preserve">Audit acak</t>
  </si>
  <si>
    <t xml:space="preserve">Sosialisasi KPI selesai dan disepakati sebagai alat coaching</t>
  </si>
  <si>
    <t xml:space="preserve">Berita acara sosialisasi</t>
  </si>
  <si>
    <t xml:space="preserve">Klasifikasi ABC divalidasi planner</t>
  </si>
  <si>
    <t xml:space="preserve">Daftar ABC bertanda tangan</t>
  </si>
  <si>
    <t xml:space="preserve">0 defect Critical/High terbuka</t>
  </si>
  <si>
    <t xml:space="preserve">Defect log</t>
  </si>
  <si>
    <t xml:space="preserve">Kontrak data disepakati tertulis dengan tim ERP</t>
  </si>
  <si>
    <t xml:space="preserve">Dokumen kontrak data</t>
  </si>
  <si>
    <t xml:space="preserve">Uji idempotensi lulus: 0 dokumen ganda pada 100 retry</t>
  </si>
  <si>
    <t xml:space="preserve">Rekonsiliasi 1 bulan paralel cocok 100% untuk GRN, DO, dan batch</t>
  </si>
  <si>
    <t xml:space="preserve">Finance Neofood</t>
  </si>
  <si>
    <t xml:space="preserve">Prosedur intervensi manual untuk pesan DEAD disepakati</t>
  </si>
  <si>
    <t xml:space="preserve">Prosedur tertulis</t>
  </si>
  <si>
    <t xml:space="preserve">Akurasi peramalan diukur dan batas pemakaiannya disepakati</t>
  </si>
  <si>
    <t xml:space="preserve">Laporan MAPE</t>
  </si>
  <si>
    <t xml:space="preserve">Serah terima ke tim internal Neofood selesai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</si>
</sst>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A20"/>
      <name val="Arial"/>
      <family val="0"/>
      <charset val="1"/>
    </font>
    <font>
      <sz val="9"/>
      <color rgb="FF6A7F76"/>
      <name val="Arial"/>
      <family val="0"/>
      <charset val="1"/>
    </font>
    <font>
      <b val="true"/>
      <sz val="9"/>
      <color rgb="FF0E2A2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13A22"/>
      <name val="Arial"/>
      <family val="0"/>
      <charset val="1"/>
    </font>
    <font>
      <b val="true"/>
      <sz val="11"/>
      <color rgb="FF0E2A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A7F76"/>
      <name val="Arial"/>
      <family val="0"/>
      <charset val="1"/>
    </font>
    <font>
      <sz val="9"/>
      <color rgb="FFD0870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EF3F0"/>
        <bgColor rgb="FFF1F6F3"/>
      </patternFill>
    </fill>
    <fill>
      <patternFill patternType="solid">
        <fgColor rgb="FF1B7A4B"/>
        <bgColor rgb="FF008080"/>
      </patternFill>
    </fill>
    <fill>
      <patternFill patternType="solid">
        <fgColor rgb="FFE6EFEA"/>
        <bgColor rgb="FFEEF3F0"/>
      </patternFill>
    </fill>
    <fill>
      <patternFill patternType="solid">
        <fgColor rgb="FFFFF6E6"/>
        <bgColor rgb="FFFFF9EC"/>
      </patternFill>
    </fill>
    <fill>
      <patternFill patternType="solid">
        <fgColor rgb="FFF7FAF8"/>
        <bgColor rgb="FFFFFCF5"/>
      </patternFill>
    </fill>
    <fill>
      <patternFill patternType="solid">
        <fgColor rgb="FFFFFCF5"/>
        <bgColor rgb="FFFFF9EC"/>
      </patternFill>
    </fill>
    <fill>
      <patternFill patternType="solid">
        <fgColor rgb="FFFDF3F1"/>
        <bgColor rgb="FFFFF6E6"/>
      </patternFill>
    </fill>
    <fill>
      <patternFill patternType="solid">
        <fgColor rgb="FFFFF9EC"/>
        <bgColor rgb="FFFFF6E6"/>
      </patternFill>
    </fill>
    <fill>
      <patternFill patternType="solid">
        <fgColor rgb="FFF1F6F3"/>
        <bgColor rgb="FFEEF3F0"/>
      </patternFill>
    </fill>
    <fill>
      <patternFill patternType="solid">
        <fgColor rgb="FFFFFFCC"/>
        <bgColor rgb="FFFFF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AD4"/>
      </left>
      <right style="thin">
        <color rgb="FFCFDAD4"/>
      </right>
      <top style="thin">
        <color rgb="FFCFDAD4"/>
      </top>
      <bottom style="thin">
        <color rgb="FFCFDAD4"/>
      </bottom>
      <diagonal/>
    </border>
    <border diagonalUp="false" diagonalDown="false">
      <left style="thin">
        <color rgb="FFCFDAD4"/>
      </left>
      <right/>
      <top style="thin">
        <color rgb="FFCFDAD4"/>
      </top>
      <bottom style="thin">
        <color rgb="FFCFDA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7A4B"/>
          <bgColor rgb="FF000000"/>
        </patternFill>
      </fill>
    </dxf>
    <dxf>
      <fill>
        <patternFill patternType="solid">
          <fgColor rgb="FFF7FAF8"/>
          <bgColor rgb="FF000000"/>
        </patternFill>
      </fill>
    </dxf>
    <dxf>
      <fill>
        <patternFill patternType="solid">
          <fgColor rgb="FFFFFC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B"/>
      <rgbColor rgb="FFF7FAF8"/>
      <rgbColor rgb="FF6A7F76"/>
      <rgbColor rgb="FF9999FF"/>
      <rgbColor rgb="FF993366"/>
      <rgbColor rgb="FFFFFFCC"/>
      <rgbColor rgb="FFE6EFEA"/>
      <rgbColor rgb="FF660066"/>
      <rgbColor rgb="FFFF8080"/>
      <rgbColor rgb="FF0066CC"/>
      <rgbColor rgb="FFCFDA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0"/>
      <rgbColor rgb="FFF1F6F3"/>
      <rgbColor rgb="FFFFF6E6"/>
      <rgbColor rgb="FFFFF9EC"/>
      <rgbColor rgb="FFFFFCF5"/>
      <rgbColor rgb="FFCC99FF"/>
      <rgbColor rgb="FFFDF3F1"/>
      <rgbColor rgb="FF3366FF"/>
      <rgbColor rgb="FF33CCCC"/>
      <rgbColor rgb="FF99CC00"/>
      <rgbColor rgb="FFFFCC00"/>
      <rgbColor rgb="FFD0870A"/>
      <rgbColor rgb="FFFF6600"/>
      <rgbColor rgb="FF666699"/>
      <rgbColor rgb="FF969696"/>
      <rgbColor rgb="FF003366"/>
      <rgbColor rgb="FF339966"/>
      <rgbColor rgb="FF0E2A20"/>
      <rgbColor rgb="FF333300"/>
      <rgbColor rgb="FFC13A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52"/>
    <col collapsed="false" customWidth="true" hidden="false" outlineLevel="0" max="6" min="6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7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25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37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37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25.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37.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37.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37.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37.5" hidden="false" customHeight="true" outlineLevel="0" collapsed="false">
      <c r="A12" s="5" t="s">
        <v>18</v>
      </c>
      <c r="B12" s="4" t="s">
        <v>19</v>
      </c>
      <c r="C12" s="4"/>
      <c r="D12" s="4"/>
      <c r="E12" s="4"/>
      <c r="F12" s="4"/>
    </row>
    <row r="14" customFormat="false" ht="15" hidden="false" customHeight="false" outlineLevel="0" collapsed="false">
      <c r="A14" s="6" t="s">
        <v>20</v>
      </c>
    </row>
    <row r="15" customFormat="false" ht="30" hidden="false" customHeight="true" outlineLevel="0" collapsed="false">
      <c r="A15" s="7" t="s">
        <v>21</v>
      </c>
      <c r="B15" s="7" t="s">
        <v>22</v>
      </c>
      <c r="C15" s="7" t="s">
        <v>23</v>
      </c>
      <c r="D15" s="7" t="s">
        <v>20</v>
      </c>
      <c r="E15" s="7" t="s">
        <v>24</v>
      </c>
      <c r="F15" s="7" t="s">
        <v>25</v>
      </c>
    </row>
    <row r="16" customFormat="false" ht="27.75" hidden="false" customHeight="true" outlineLevel="0" collapsed="false">
      <c r="A16" s="8" t="s">
        <v>26</v>
      </c>
      <c r="B16" s="9" t="n">
        <v>1</v>
      </c>
      <c r="C16" s="10" t="s">
        <v>27</v>
      </c>
      <c r="D16" s="11" t="s">
        <v>28</v>
      </c>
      <c r="E16" s="10" t="s">
        <v>29</v>
      </c>
      <c r="F16" s="9" t="s">
        <v>30</v>
      </c>
    </row>
    <row r="17" customFormat="false" ht="27.75" hidden="false" customHeight="true" outlineLevel="0" collapsed="false">
      <c r="A17" s="8" t="s">
        <v>26</v>
      </c>
      <c r="B17" s="9" t="n">
        <v>2</v>
      </c>
      <c r="C17" s="10" t="s">
        <v>31</v>
      </c>
      <c r="D17" s="11" t="s">
        <v>32</v>
      </c>
      <c r="E17" s="10" t="s">
        <v>33</v>
      </c>
      <c r="F17" s="9" t="s">
        <v>30</v>
      </c>
    </row>
    <row r="18" customFormat="false" ht="27.75" hidden="false" customHeight="true" outlineLevel="0" collapsed="false">
      <c r="A18" s="8" t="s">
        <v>26</v>
      </c>
      <c r="B18" s="9" t="n">
        <v>3</v>
      </c>
      <c r="C18" s="10" t="s">
        <v>34</v>
      </c>
      <c r="D18" s="11" t="s">
        <v>35</v>
      </c>
      <c r="E18" s="10" t="s">
        <v>36</v>
      </c>
      <c r="F18" s="9" t="s">
        <v>30</v>
      </c>
    </row>
    <row r="19" customFormat="false" ht="27.75" hidden="false" customHeight="true" outlineLevel="0" collapsed="false">
      <c r="A19" s="8" t="s">
        <v>26</v>
      </c>
      <c r="B19" s="9" t="n">
        <v>4</v>
      </c>
      <c r="C19" s="10" t="s">
        <v>37</v>
      </c>
      <c r="D19" s="11" t="s">
        <v>38</v>
      </c>
      <c r="E19" s="10" t="s">
        <v>39</v>
      </c>
      <c r="F19" s="9" t="s">
        <v>30</v>
      </c>
    </row>
    <row r="20" customFormat="false" ht="27.75" hidden="false" customHeight="true" outlineLevel="0" collapsed="false">
      <c r="A20" s="8" t="s">
        <v>26</v>
      </c>
      <c r="B20" s="9" t="n">
        <v>5</v>
      </c>
      <c r="C20" s="10" t="s">
        <v>40</v>
      </c>
      <c r="D20" s="11" t="s">
        <v>41</v>
      </c>
      <c r="E20" s="10" t="s">
        <v>42</v>
      </c>
      <c r="F20" s="9" t="s">
        <v>30</v>
      </c>
    </row>
    <row r="21" customFormat="false" ht="27.75" hidden="false" customHeight="true" outlineLevel="0" collapsed="false">
      <c r="A21" s="8" t="s">
        <v>26</v>
      </c>
      <c r="B21" s="9" t="n">
        <v>6</v>
      </c>
      <c r="C21" s="10" t="s">
        <v>43</v>
      </c>
      <c r="D21" s="11" t="s">
        <v>44</v>
      </c>
      <c r="E21" s="10" t="s">
        <v>45</v>
      </c>
      <c r="F21" s="9" t="s">
        <v>30</v>
      </c>
    </row>
    <row r="22" customFormat="false" ht="27.75" hidden="false" customHeight="true" outlineLevel="0" collapsed="false">
      <c r="A22" s="12" t="s">
        <v>46</v>
      </c>
      <c r="B22" s="9" t="n">
        <v>1</v>
      </c>
      <c r="C22" s="10" t="s">
        <v>47</v>
      </c>
      <c r="D22" s="11" t="s">
        <v>48</v>
      </c>
      <c r="E22" s="10" t="s">
        <v>49</v>
      </c>
      <c r="F22" s="9" t="s">
        <v>30</v>
      </c>
    </row>
    <row r="23" customFormat="false" ht="27.75" hidden="false" customHeight="true" outlineLevel="0" collapsed="false">
      <c r="A23" s="12" t="s">
        <v>46</v>
      </c>
      <c r="B23" s="9" t="n">
        <v>2</v>
      </c>
      <c r="C23" s="10" t="s">
        <v>50</v>
      </c>
      <c r="D23" s="11" t="s">
        <v>51</v>
      </c>
      <c r="E23" s="10" t="s">
        <v>52</v>
      </c>
      <c r="F23" s="9" t="s">
        <v>30</v>
      </c>
    </row>
    <row r="24" customFormat="false" ht="27.75" hidden="false" customHeight="true" outlineLevel="0" collapsed="false">
      <c r="A24" s="12" t="s">
        <v>46</v>
      </c>
      <c r="B24" s="9" t="n">
        <v>4</v>
      </c>
      <c r="C24" s="10" t="s">
        <v>53</v>
      </c>
      <c r="D24" s="11" t="s">
        <v>54</v>
      </c>
      <c r="E24" s="10" t="s">
        <v>55</v>
      </c>
      <c r="F24" s="9" t="s">
        <v>30</v>
      </c>
    </row>
    <row r="25" customFormat="false" ht="27.75" hidden="false" customHeight="true" outlineLevel="0" collapsed="false">
      <c r="A25" s="12" t="s">
        <v>46</v>
      </c>
      <c r="B25" s="9" t="n">
        <v>5</v>
      </c>
      <c r="C25" s="10" t="s">
        <v>56</v>
      </c>
      <c r="D25" s="11" t="s">
        <v>57</v>
      </c>
      <c r="E25" s="10" t="s">
        <v>58</v>
      </c>
      <c r="F25" s="9" t="s">
        <v>30</v>
      </c>
    </row>
    <row r="26" customFormat="false" ht="27.75" hidden="false" customHeight="true" outlineLevel="0" collapsed="false">
      <c r="A26" s="12" t="s">
        <v>46</v>
      </c>
      <c r="B26" s="9" t="n">
        <v>7</v>
      </c>
      <c r="C26" s="10" t="s">
        <v>59</v>
      </c>
      <c r="D26" s="11" t="s">
        <v>60</v>
      </c>
      <c r="E26" s="10" t="s">
        <v>61</v>
      </c>
      <c r="F26" s="9" t="s">
        <v>30</v>
      </c>
    </row>
    <row r="27" customFormat="false" ht="27.75" hidden="false" customHeight="true" outlineLevel="0" collapsed="false">
      <c r="A27" s="12" t="s">
        <v>46</v>
      </c>
      <c r="B27" s="9" t="n">
        <v>8</v>
      </c>
      <c r="C27" s="10" t="s">
        <v>62</v>
      </c>
      <c r="D27" s="11" t="s">
        <v>44</v>
      </c>
      <c r="E27" s="10" t="s">
        <v>63</v>
      </c>
      <c r="F27" s="9" t="s">
        <v>30</v>
      </c>
    </row>
  </sheetData>
  <mergeCells count="1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3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7" t="s">
        <v>66</v>
      </c>
      <c r="B4" s="7" t="s">
        <v>21</v>
      </c>
      <c r="C4" s="7" t="s">
        <v>22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  <c r="J4" s="7" t="s">
        <v>25</v>
      </c>
    </row>
    <row r="5" customFormat="false" ht="24" hidden="false" customHeight="true" outlineLevel="0" collapsed="false">
      <c r="A5" s="13" t="s">
        <v>73</v>
      </c>
      <c r="B5" s="13" t="s">
        <v>26</v>
      </c>
      <c r="C5" s="13" t="n">
        <v>1</v>
      </c>
      <c r="D5" s="14" t="s">
        <v>74</v>
      </c>
      <c r="E5" s="14" t="s">
        <v>75</v>
      </c>
      <c r="F5" s="14" t="s">
        <v>76</v>
      </c>
      <c r="G5" s="14" t="s">
        <v>77</v>
      </c>
      <c r="H5" s="15" t="n">
        <v>2</v>
      </c>
      <c r="I5" s="13"/>
      <c r="J5" s="13"/>
    </row>
    <row r="6" customFormat="false" ht="24" hidden="false" customHeight="true" outlineLevel="0" collapsed="false">
      <c r="A6" s="13" t="s">
        <v>78</v>
      </c>
      <c r="B6" s="13" t="s">
        <v>26</v>
      </c>
      <c r="C6" s="13" t="n">
        <v>1</v>
      </c>
      <c r="D6" s="14" t="s">
        <v>79</v>
      </c>
      <c r="E6" s="14" t="s">
        <v>80</v>
      </c>
      <c r="F6" s="14" t="s">
        <v>81</v>
      </c>
      <c r="G6" s="14" t="s">
        <v>82</v>
      </c>
      <c r="H6" s="15" t="n">
        <v>0.5</v>
      </c>
      <c r="I6" s="13"/>
      <c r="J6" s="13"/>
    </row>
    <row r="7" customFormat="false" ht="24" hidden="false" customHeight="true" outlineLevel="0" collapsed="false">
      <c r="A7" s="13" t="s">
        <v>83</v>
      </c>
      <c r="B7" s="13" t="s">
        <v>26</v>
      </c>
      <c r="C7" s="13" t="n">
        <v>1</v>
      </c>
      <c r="D7" s="14" t="s">
        <v>84</v>
      </c>
      <c r="E7" s="14" t="s">
        <v>85</v>
      </c>
      <c r="F7" s="14" t="s">
        <v>86</v>
      </c>
      <c r="G7" s="14" t="s">
        <v>77</v>
      </c>
      <c r="H7" s="15" t="n">
        <v>1.5</v>
      </c>
      <c r="I7" s="13" t="s">
        <v>73</v>
      </c>
      <c r="J7" s="13"/>
    </row>
    <row r="8" customFormat="false" ht="24" hidden="false" customHeight="true" outlineLevel="0" collapsed="false">
      <c r="A8" s="13" t="s">
        <v>87</v>
      </c>
      <c r="B8" s="13" t="s">
        <v>26</v>
      </c>
      <c r="C8" s="13" t="n">
        <v>1</v>
      </c>
      <c r="D8" s="14" t="s">
        <v>84</v>
      </c>
      <c r="E8" s="14" t="s">
        <v>88</v>
      </c>
      <c r="F8" s="14" t="s">
        <v>89</v>
      </c>
      <c r="G8" s="14" t="s">
        <v>82</v>
      </c>
      <c r="H8" s="15" t="n">
        <v>1</v>
      </c>
      <c r="I8" s="13" t="s">
        <v>78</v>
      </c>
      <c r="J8" s="13"/>
    </row>
    <row r="9" customFormat="false" ht="24" hidden="false" customHeight="true" outlineLevel="0" collapsed="false">
      <c r="A9" s="13" t="s">
        <v>90</v>
      </c>
      <c r="B9" s="13" t="s">
        <v>26</v>
      </c>
      <c r="C9" s="13" t="n">
        <v>2</v>
      </c>
      <c r="D9" s="14" t="s">
        <v>91</v>
      </c>
      <c r="E9" s="14" t="s">
        <v>92</v>
      </c>
      <c r="F9" s="14" t="s">
        <v>93</v>
      </c>
      <c r="G9" s="14" t="s">
        <v>94</v>
      </c>
      <c r="H9" s="15" t="n">
        <v>2</v>
      </c>
      <c r="I9" s="13" t="s">
        <v>78</v>
      </c>
      <c r="J9" s="13"/>
    </row>
    <row r="10" customFormat="false" ht="24" hidden="false" customHeight="true" outlineLevel="0" collapsed="false">
      <c r="A10" s="13" t="s">
        <v>95</v>
      </c>
      <c r="B10" s="13" t="s">
        <v>26</v>
      </c>
      <c r="C10" s="13" t="n">
        <v>2</v>
      </c>
      <c r="D10" s="14" t="s">
        <v>96</v>
      </c>
      <c r="E10" s="14" t="s">
        <v>97</v>
      </c>
      <c r="F10" s="14" t="s">
        <v>98</v>
      </c>
      <c r="G10" s="14" t="s">
        <v>94</v>
      </c>
      <c r="H10" s="15" t="n">
        <v>2.5</v>
      </c>
      <c r="I10" s="13" t="s">
        <v>90</v>
      </c>
      <c r="J10" s="13"/>
    </row>
    <row r="11" customFormat="false" ht="24" hidden="false" customHeight="true" outlineLevel="0" collapsed="false">
      <c r="A11" s="13" t="s">
        <v>99</v>
      </c>
      <c r="B11" s="13" t="s">
        <v>26</v>
      </c>
      <c r="C11" s="13" t="n">
        <v>2</v>
      </c>
      <c r="D11" s="14" t="s">
        <v>96</v>
      </c>
      <c r="E11" s="14" t="s">
        <v>100</v>
      </c>
      <c r="F11" s="14" t="s">
        <v>101</v>
      </c>
      <c r="G11" s="14" t="s">
        <v>102</v>
      </c>
      <c r="H11" s="15" t="n">
        <v>3</v>
      </c>
      <c r="I11" s="13" t="s">
        <v>90</v>
      </c>
      <c r="J11" s="13"/>
    </row>
    <row r="12" customFormat="false" ht="24" hidden="false" customHeight="true" outlineLevel="0" collapsed="false">
      <c r="A12" s="13" t="s">
        <v>103</v>
      </c>
      <c r="B12" s="13" t="s">
        <v>26</v>
      </c>
      <c r="C12" s="13" t="n">
        <v>2</v>
      </c>
      <c r="D12" s="14" t="s">
        <v>104</v>
      </c>
      <c r="E12" s="14" t="s">
        <v>105</v>
      </c>
      <c r="F12" s="14" t="s">
        <v>106</v>
      </c>
      <c r="G12" s="14" t="s">
        <v>107</v>
      </c>
      <c r="H12" s="15" t="n">
        <v>1</v>
      </c>
      <c r="I12" s="13" t="s">
        <v>83</v>
      </c>
      <c r="J12" s="13"/>
    </row>
    <row r="13" customFormat="false" ht="24" hidden="false" customHeight="true" outlineLevel="0" collapsed="false">
      <c r="A13" s="13" t="s">
        <v>108</v>
      </c>
      <c r="B13" s="13" t="s">
        <v>26</v>
      </c>
      <c r="C13" s="13" t="n">
        <v>3</v>
      </c>
      <c r="D13" s="14" t="s">
        <v>96</v>
      </c>
      <c r="E13" s="14" t="s">
        <v>109</v>
      </c>
      <c r="F13" s="14" t="s">
        <v>110</v>
      </c>
      <c r="G13" s="14" t="s">
        <v>102</v>
      </c>
      <c r="H13" s="15" t="n">
        <v>2</v>
      </c>
      <c r="I13" s="13" t="s">
        <v>78</v>
      </c>
      <c r="J13" s="13"/>
    </row>
    <row r="14" customFormat="false" ht="24" hidden="false" customHeight="true" outlineLevel="0" collapsed="false">
      <c r="A14" s="13" t="s">
        <v>111</v>
      </c>
      <c r="B14" s="13" t="s">
        <v>26</v>
      </c>
      <c r="C14" s="13" t="n">
        <v>3</v>
      </c>
      <c r="D14" s="14" t="s">
        <v>91</v>
      </c>
      <c r="E14" s="14" t="s">
        <v>112</v>
      </c>
      <c r="F14" s="14" t="s">
        <v>113</v>
      </c>
      <c r="G14" s="14" t="s">
        <v>102</v>
      </c>
      <c r="H14" s="15" t="n">
        <v>1</v>
      </c>
      <c r="I14" s="13" t="s">
        <v>108</v>
      </c>
      <c r="J14" s="13"/>
    </row>
    <row r="15" customFormat="false" ht="24" hidden="false" customHeight="true" outlineLevel="0" collapsed="false">
      <c r="A15" s="13" t="s">
        <v>114</v>
      </c>
      <c r="B15" s="13" t="s">
        <v>26</v>
      </c>
      <c r="C15" s="13" t="n">
        <v>3</v>
      </c>
      <c r="D15" s="14" t="s">
        <v>96</v>
      </c>
      <c r="E15" s="14" t="s">
        <v>115</v>
      </c>
      <c r="F15" s="14" t="s">
        <v>116</v>
      </c>
      <c r="G15" s="14" t="s">
        <v>94</v>
      </c>
      <c r="H15" s="15" t="n">
        <v>2</v>
      </c>
      <c r="I15" s="13" t="s">
        <v>108</v>
      </c>
      <c r="J15" s="13"/>
    </row>
    <row r="16" customFormat="false" ht="24" hidden="false" customHeight="true" outlineLevel="0" collapsed="false">
      <c r="A16" s="13" t="s">
        <v>117</v>
      </c>
      <c r="B16" s="13" t="s">
        <v>26</v>
      </c>
      <c r="C16" s="13" t="n">
        <v>3</v>
      </c>
      <c r="D16" s="14" t="s">
        <v>104</v>
      </c>
      <c r="E16" s="14" t="s">
        <v>118</v>
      </c>
      <c r="F16" s="14" t="s">
        <v>119</v>
      </c>
      <c r="G16" s="14" t="s">
        <v>77</v>
      </c>
      <c r="H16" s="15" t="n">
        <v>1</v>
      </c>
      <c r="I16" s="13"/>
      <c r="J16" s="13"/>
    </row>
    <row r="17" customFormat="false" ht="24" hidden="false" customHeight="true" outlineLevel="0" collapsed="false">
      <c r="A17" s="13" t="s">
        <v>120</v>
      </c>
      <c r="B17" s="13" t="s">
        <v>26</v>
      </c>
      <c r="C17" s="13" t="n">
        <v>4</v>
      </c>
      <c r="D17" s="14" t="s">
        <v>96</v>
      </c>
      <c r="E17" s="14" t="s">
        <v>121</v>
      </c>
      <c r="F17" s="14" t="s">
        <v>122</v>
      </c>
      <c r="G17" s="14" t="s">
        <v>94</v>
      </c>
      <c r="H17" s="15" t="n">
        <v>2.5</v>
      </c>
      <c r="I17" s="13" t="s">
        <v>87</v>
      </c>
      <c r="J17" s="13"/>
    </row>
    <row r="18" customFormat="false" ht="24" hidden="false" customHeight="true" outlineLevel="0" collapsed="false">
      <c r="A18" s="13" t="s">
        <v>123</v>
      </c>
      <c r="B18" s="13" t="s">
        <v>26</v>
      </c>
      <c r="C18" s="13" t="n">
        <v>4</v>
      </c>
      <c r="D18" s="14" t="s">
        <v>96</v>
      </c>
      <c r="E18" s="14" t="s">
        <v>124</v>
      </c>
      <c r="F18" s="14" t="s">
        <v>122</v>
      </c>
      <c r="G18" s="14" t="s">
        <v>94</v>
      </c>
      <c r="H18" s="15" t="n">
        <v>2</v>
      </c>
      <c r="I18" s="13" t="s">
        <v>120</v>
      </c>
      <c r="J18" s="13"/>
    </row>
    <row r="19" customFormat="false" ht="24" hidden="false" customHeight="true" outlineLevel="0" collapsed="false">
      <c r="A19" s="13" t="s">
        <v>125</v>
      </c>
      <c r="B19" s="13" t="s">
        <v>26</v>
      </c>
      <c r="C19" s="13" t="n">
        <v>4</v>
      </c>
      <c r="D19" s="14" t="s">
        <v>96</v>
      </c>
      <c r="E19" s="14" t="s">
        <v>126</v>
      </c>
      <c r="F19" s="14" t="s">
        <v>122</v>
      </c>
      <c r="G19" s="14" t="s">
        <v>102</v>
      </c>
      <c r="H19" s="15" t="n">
        <v>2</v>
      </c>
      <c r="I19" s="13" t="s">
        <v>108</v>
      </c>
      <c r="J19" s="13"/>
    </row>
    <row r="20" customFormat="false" ht="24" hidden="false" customHeight="true" outlineLevel="0" collapsed="false">
      <c r="A20" s="13" t="s">
        <v>127</v>
      </c>
      <c r="B20" s="13" t="s">
        <v>26</v>
      </c>
      <c r="C20" s="13" t="n">
        <v>4</v>
      </c>
      <c r="D20" s="14" t="s">
        <v>74</v>
      </c>
      <c r="E20" s="14" t="s">
        <v>128</v>
      </c>
      <c r="F20" s="14" t="s">
        <v>129</v>
      </c>
      <c r="G20" s="14" t="s">
        <v>77</v>
      </c>
      <c r="H20" s="15" t="n">
        <v>1.5</v>
      </c>
      <c r="I20" s="13" t="s">
        <v>120</v>
      </c>
      <c r="J20" s="13"/>
    </row>
    <row r="21" customFormat="false" ht="24" hidden="false" customHeight="true" outlineLevel="0" collapsed="false">
      <c r="A21" s="13" t="s">
        <v>130</v>
      </c>
      <c r="B21" s="13" t="s">
        <v>26</v>
      </c>
      <c r="C21" s="13" t="n">
        <v>5</v>
      </c>
      <c r="D21" s="14" t="s">
        <v>131</v>
      </c>
      <c r="E21" s="14" t="s">
        <v>132</v>
      </c>
      <c r="F21" s="14" t="s">
        <v>133</v>
      </c>
      <c r="G21" s="14" t="s">
        <v>77</v>
      </c>
      <c r="H21" s="15" t="n">
        <v>2.5</v>
      </c>
      <c r="I21" s="13" t="s">
        <v>125</v>
      </c>
      <c r="J21" s="13"/>
    </row>
    <row r="22" customFormat="false" ht="24" hidden="false" customHeight="true" outlineLevel="0" collapsed="false">
      <c r="A22" s="13" t="s">
        <v>134</v>
      </c>
      <c r="B22" s="13" t="s">
        <v>26</v>
      </c>
      <c r="C22" s="13" t="n">
        <v>5</v>
      </c>
      <c r="D22" s="14" t="s">
        <v>135</v>
      </c>
      <c r="E22" s="14" t="s">
        <v>136</v>
      </c>
      <c r="F22" s="14" t="s">
        <v>137</v>
      </c>
      <c r="G22" s="14" t="s">
        <v>94</v>
      </c>
      <c r="H22" s="15" t="n">
        <v>2</v>
      </c>
      <c r="I22" s="13" t="s">
        <v>130</v>
      </c>
      <c r="J22" s="13"/>
    </row>
    <row r="23" customFormat="false" ht="24" hidden="false" customHeight="true" outlineLevel="0" collapsed="false">
      <c r="A23" s="13" t="s">
        <v>138</v>
      </c>
      <c r="B23" s="13" t="s">
        <v>26</v>
      </c>
      <c r="C23" s="13" t="n">
        <v>5</v>
      </c>
      <c r="D23" s="14" t="s">
        <v>74</v>
      </c>
      <c r="E23" s="14" t="s">
        <v>139</v>
      </c>
      <c r="F23" s="14" t="s">
        <v>140</v>
      </c>
      <c r="G23" s="14" t="s">
        <v>77</v>
      </c>
      <c r="H23" s="15" t="n">
        <v>1.5</v>
      </c>
      <c r="I23" s="13" t="s">
        <v>130</v>
      </c>
      <c r="J23" s="13"/>
    </row>
    <row r="24" customFormat="false" ht="24" hidden="false" customHeight="true" outlineLevel="0" collapsed="false">
      <c r="A24" s="13" t="s">
        <v>141</v>
      </c>
      <c r="B24" s="13" t="s">
        <v>26</v>
      </c>
      <c r="C24" s="13" t="n">
        <v>5</v>
      </c>
      <c r="D24" s="14" t="s">
        <v>79</v>
      </c>
      <c r="E24" s="14" t="s">
        <v>142</v>
      </c>
      <c r="F24" s="14" t="s">
        <v>143</v>
      </c>
      <c r="G24" s="14" t="s">
        <v>82</v>
      </c>
      <c r="H24" s="15" t="n">
        <v>1</v>
      </c>
      <c r="I24" s="13" t="s">
        <v>134</v>
      </c>
      <c r="J24" s="13"/>
    </row>
    <row r="25" customFormat="false" ht="24" hidden="false" customHeight="true" outlineLevel="0" collapsed="false">
      <c r="A25" s="13" t="s">
        <v>144</v>
      </c>
      <c r="B25" s="13" t="s">
        <v>26</v>
      </c>
      <c r="C25" s="13" t="n">
        <v>6</v>
      </c>
      <c r="D25" s="14" t="s">
        <v>145</v>
      </c>
      <c r="E25" s="14" t="s">
        <v>146</v>
      </c>
      <c r="F25" s="14" t="s">
        <v>147</v>
      </c>
      <c r="G25" s="14" t="s">
        <v>148</v>
      </c>
      <c r="H25" s="15" t="n">
        <v>0.5</v>
      </c>
      <c r="I25" s="13" t="s">
        <v>141</v>
      </c>
      <c r="J25" s="13"/>
    </row>
    <row r="26" customFormat="false" ht="24" hidden="false" customHeight="true" outlineLevel="0" collapsed="false">
      <c r="A26" s="13" t="s">
        <v>149</v>
      </c>
      <c r="B26" s="13" t="s">
        <v>26</v>
      </c>
      <c r="C26" s="13" t="n">
        <v>6</v>
      </c>
      <c r="D26" s="14" t="s">
        <v>150</v>
      </c>
      <c r="E26" s="14" t="s">
        <v>151</v>
      </c>
      <c r="F26" s="14" t="s">
        <v>152</v>
      </c>
      <c r="G26" s="14" t="s">
        <v>102</v>
      </c>
      <c r="H26" s="15" t="n">
        <v>3</v>
      </c>
      <c r="I26" s="13" t="s">
        <v>144</v>
      </c>
      <c r="J26" s="13"/>
    </row>
    <row r="27" customFormat="false" ht="24" hidden="false" customHeight="true" outlineLevel="0" collapsed="false">
      <c r="A27" s="13" t="s">
        <v>153</v>
      </c>
      <c r="B27" s="13" t="s">
        <v>26</v>
      </c>
      <c r="C27" s="13" t="n">
        <v>6</v>
      </c>
      <c r="D27" s="14" t="s">
        <v>150</v>
      </c>
      <c r="E27" s="14" t="s">
        <v>154</v>
      </c>
      <c r="F27" s="14" t="s">
        <v>155</v>
      </c>
      <c r="G27" s="14" t="s">
        <v>77</v>
      </c>
      <c r="H27" s="15" t="n">
        <v>1</v>
      </c>
      <c r="I27" s="13" t="s">
        <v>149</v>
      </c>
      <c r="J27" s="13"/>
    </row>
    <row r="28" customFormat="false" ht="24" hidden="false" customHeight="true" outlineLevel="0" collapsed="false">
      <c r="A28" s="16" t="s">
        <v>156</v>
      </c>
      <c r="B28" s="16" t="s">
        <v>46</v>
      </c>
      <c r="C28" s="16" t="n">
        <v>1</v>
      </c>
      <c r="D28" s="17" t="s">
        <v>157</v>
      </c>
      <c r="E28" s="17" t="s">
        <v>158</v>
      </c>
      <c r="F28" s="17" t="s">
        <v>159</v>
      </c>
      <c r="G28" s="17" t="s">
        <v>82</v>
      </c>
      <c r="H28" s="18" t="n">
        <v>2</v>
      </c>
      <c r="I28" s="16"/>
      <c r="J28" s="16"/>
    </row>
    <row r="29" customFormat="false" ht="24" hidden="false" customHeight="true" outlineLevel="0" collapsed="false">
      <c r="A29" s="16" t="s">
        <v>160</v>
      </c>
      <c r="B29" s="16" t="s">
        <v>46</v>
      </c>
      <c r="C29" s="16" t="n">
        <v>1</v>
      </c>
      <c r="D29" s="17" t="s">
        <v>157</v>
      </c>
      <c r="E29" s="17" t="s">
        <v>161</v>
      </c>
      <c r="F29" s="17" t="s">
        <v>162</v>
      </c>
      <c r="G29" s="17" t="s">
        <v>163</v>
      </c>
      <c r="H29" s="18" t="n">
        <v>1.5</v>
      </c>
      <c r="I29" s="16" t="s">
        <v>156</v>
      </c>
      <c r="J29" s="16"/>
    </row>
    <row r="30" customFormat="false" ht="24" hidden="false" customHeight="true" outlineLevel="0" collapsed="false">
      <c r="A30" s="16" t="s">
        <v>164</v>
      </c>
      <c r="B30" s="16" t="s">
        <v>46</v>
      </c>
      <c r="C30" s="16" t="n">
        <v>1</v>
      </c>
      <c r="D30" s="17" t="s">
        <v>79</v>
      </c>
      <c r="E30" s="17" t="s">
        <v>165</v>
      </c>
      <c r="F30" s="17" t="s">
        <v>166</v>
      </c>
      <c r="G30" s="17" t="s">
        <v>82</v>
      </c>
      <c r="H30" s="18" t="n">
        <v>0.5</v>
      </c>
      <c r="I30" s="16"/>
      <c r="J30" s="16"/>
    </row>
    <row r="31" customFormat="false" ht="24" hidden="false" customHeight="true" outlineLevel="0" collapsed="false">
      <c r="A31" s="16" t="s">
        <v>167</v>
      </c>
      <c r="B31" s="16" t="s">
        <v>46</v>
      </c>
      <c r="C31" s="16" t="n">
        <v>1</v>
      </c>
      <c r="D31" s="17" t="s">
        <v>168</v>
      </c>
      <c r="E31" s="17" t="s">
        <v>169</v>
      </c>
      <c r="F31" s="17" t="s">
        <v>170</v>
      </c>
      <c r="G31" s="17" t="s">
        <v>163</v>
      </c>
      <c r="H31" s="18" t="n">
        <v>1</v>
      </c>
      <c r="I31" s="16"/>
      <c r="J31" s="16"/>
    </row>
    <row r="32" customFormat="false" ht="24" hidden="false" customHeight="true" outlineLevel="0" collapsed="false">
      <c r="A32" s="16" t="s">
        <v>171</v>
      </c>
      <c r="B32" s="16" t="s">
        <v>46</v>
      </c>
      <c r="C32" s="16" t="n">
        <v>2</v>
      </c>
      <c r="D32" s="17" t="s">
        <v>168</v>
      </c>
      <c r="E32" s="17" t="s">
        <v>172</v>
      </c>
      <c r="F32" s="17" t="s">
        <v>173</v>
      </c>
      <c r="G32" s="17" t="s">
        <v>163</v>
      </c>
      <c r="H32" s="18" t="n">
        <v>3</v>
      </c>
      <c r="I32" s="16" t="s">
        <v>167</v>
      </c>
      <c r="J32" s="16"/>
    </row>
    <row r="33" customFormat="false" ht="24" hidden="false" customHeight="true" outlineLevel="0" collapsed="false">
      <c r="A33" s="16" t="s">
        <v>174</v>
      </c>
      <c r="B33" s="16" t="s">
        <v>46</v>
      </c>
      <c r="C33" s="16" t="n">
        <v>2</v>
      </c>
      <c r="D33" s="17" t="s">
        <v>91</v>
      </c>
      <c r="E33" s="17" t="s">
        <v>175</v>
      </c>
      <c r="F33" s="17" t="s">
        <v>176</v>
      </c>
      <c r="G33" s="17" t="s">
        <v>135</v>
      </c>
      <c r="H33" s="18" t="n">
        <v>2.5</v>
      </c>
      <c r="I33" s="16" t="s">
        <v>164</v>
      </c>
      <c r="J33" s="16"/>
    </row>
    <row r="34" customFormat="false" ht="24" hidden="false" customHeight="true" outlineLevel="0" collapsed="false">
      <c r="A34" s="16" t="s">
        <v>177</v>
      </c>
      <c r="B34" s="16" t="s">
        <v>46</v>
      </c>
      <c r="C34" s="16" t="n">
        <v>2</v>
      </c>
      <c r="D34" s="17" t="s">
        <v>91</v>
      </c>
      <c r="E34" s="17" t="s">
        <v>178</v>
      </c>
      <c r="F34" s="17" t="s">
        <v>93</v>
      </c>
      <c r="G34" s="17" t="s">
        <v>135</v>
      </c>
      <c r="H34" s="18" t="n">
        <v>1.5</v>
      </c>
      <c r="I34" s="16" t="s">
        <v>174</v>
      </c>
      <c r="J34" s="16"/>
    </row>
    <row r="35" customFormat="false" ht="24" hidden="false" customHeight="true" outlineLevel="0" collapsed="false">
      <c r="A35" s="16" t="s">
        <v>179</v>
      </c>
      <c r="B35" s="16" t="s">
        <v>46</v>
      </c>
      <c r="C35" s="16" t="n">
        <v>3</v>
      </c>
      <c r="D35" s="17" t="s">
        <v>168</v>
      </c>
      <c r="E35" s="17" t="s">
        <v>180</v>
      </c>
      <c r="F35" s="17" t="s">
        <v>181</v>
      </c>
      <c r="G35" s="17" t="s">
        <v>163</v>
      </c>
      <c r="H35" s="18" t="n">
        <v>2.5</v>
      </c>
      <c r="I35" s="16" t="s">
        <v>182</v>
      </c>
      <c r="J35" s="16"/>
    </row>
    <row r="36" customFormat="false" ht="24" hidden="false" customHeight="true" outlineLevel="0" collapsed="false">
      <c r="A36" s="16" t="s">
        <v>183</v>
      </c>
      <c r="B36" s="16" t="s">
        <v>46</v>
      </c>
      <c r="C36" s="16" t="n">
        <v>3</v>
      </c>
      <c r="D36" s="17" t="s">
        <v>168</v>
      </c>
      <c r="E36" s="17" t="s">
        <v>184</v>
      </c>
      <c r="F36" s="17" t="s">
        <v>185</v>
      </c>
      <c r="G36" s="17" t="s">
        <v>163</v>
      </c>
      <c r="H36" s="18" t="n">
        <v>2</v>
      </c>
      <c r="I36" s="16" t="s">
        <v>179</v>
      </c>
      <c r="J36" s="16"/>
    </row>
    <row r="37" customFormat="false" ht="24" hidden="false" customHeight="true" outlineLevel="0" collapsed="false">
      <c r="A37" s="16" t="s">
        <v>186</v>
      </c>
      <c r="B37" s="16" t="s">
        <v>46</v>
      </c>
      <c r="C37" s="16" t="n">
        <v>3</v>
      </c>
      <c r="D37" s="17" t="s">
        <v>96</v>
      </c>
      <c r="E37" s="17" t="s">
        <v>187</v>
      </c>
      <c r="F37" s="17" t="s">
        <v>188</v>
      </c>
      <c r="G37" s="17" t="s">
        <v>135</v>
      </c>
      <c r="H37" s="18" t="n">
        <v>1.5</v>
      </c>
      <c r="I37" s="16" t="s">
        <v>174</v>
      </c>
      <c r="J37" s="16"/>
    </row>
    <row r="38" customFormat="false" ht="24" hidden="false" customHeight="true" outlineLevel="0" collapsed="false">
      <c r="A38" s="16" t="s">
        <v>189</v>
      </c>
      <c r="B38" s="16" t="s">
        <v>46</v>
      </c>
      <c r="C38" s="16" t="n">
        <v>4</v>
      </c>
      <c r="D38" s="17" t="s">
        <v>168</v>
      </c>
      <c r="E38" s="17" t="s">
        <v>190</v>
      </c>
      <c r="F38" s="17" t="s">
        <v>191</v>
      </c>
      <c r="G38" s="17" t="s">
        <v>163</v>
      </c>
      <c r="H38" s="18" t="n">
        <v>2.5</v>
      </c>
      <c r="I38" s="16" t="s">
        <v>183</v>
      </c>
      <c r="J38" s="16"/>
    </row>
    <row r="39" customFormat="false" ht="24" hidden="false" customHeight="true" outlineLevel="0" collapsed="false">
      <c r="A39" s="16" t="s">
        <v>192</v>
      </c>
      <c r="B39" s="16" t="s">
        <v>46</v>
      </c>
      <c r="C39" s="16" t="n">
        <v>4</v>
      </c>
      <c r="D39" s="17" t="s">
        <v>168</v>
      </c>
      <c r="E39" s="17" t="s">
        <v>193</v>
      </c>
      <c r="F39" s="17" t="s">
        <v>194</v>
      </c>
      <c r="G39" s="17" t="s">
        <v>163</v>
      </c>
      <c r="H39" s="18" t="n">
        <v>2</v>
      </c>
      <c r="I39" s="16" t="s">
        <v>171</v>
      </c>
      <c r="J39" s="16"/>
    </row>
    <row r="40" customFormat="false" ht="24" hidden="false" customHeight="true" outlineLevel="0" collapsed="false">
      <c r="A40" s="16" t="s">
        <v>195</v>
      </c>
      <c r="B40" s="16" t="s">
        <v>46</v>
      </c>
      <c r="C40" s="16" t="n">
        <v>4</v>
      </c>
      <c r="D40" s="17" t="s">
        <v>131</v>
      </c>
      <c r="E40" s="17" t="s">
        <v>196</v>
      </c>
      <c r="F40" s="17" t="s">
        <v>197</v>
      </c>
      <c r="G40" s="17" t="s">
        <v>77</v>
      </c>
      <c r="H40" s="18" t="n">
        <v>2</v>
      </c>
      <c r="I40" s="16" t="s">
        <v>189</v>
      </c>
      <c r="J40" s="16"/>
    </row>
    <row r="41" customFormat="false" ht="24" hidden="false" customHeight="true" outlineLevel="0" collapsed="false">
      <c r="A41" s="16" t="s">
        <v>198</v>
      </c>
      <c r="B41" s="16" t="s">
        <v>46</v>
      </c>
      <c r="C41" s="16" t="n">
        <v>5</v>
      </c>
      <c r="D41" s="17" t="s">
        <v>84</v>
      </c>
      <c r="E41" s="17" t="s">
        <v>199</v>
      </c>
      <c r="F41" s="17" t="s">
        <v>200</v>
      </c>
      <c r="G41" s="17" t="s">
        <v>77</v>
      </c>
      <c r="H41" s="18" t="n">
        <v>2</v>
      </c>
      <c r="I41" s="16"/>
      <c r="J41" s="16"/>
    </row>
    <row r="42" customFormat="false" ht="24" hidden="false" customHeight="true" outlineLevel="0" collapsed="false">
      <c r="A42" s="16" t="s">
        <v>201</v>
      </c>
      <c r="B42" s="16" t="s">
        <v>46</v>
      </c>
      <c r="C42" s="16" t="n">
        <v>5</v>
      </c>
      <c r="D42" s="17" t="s">
        <v>91</v>
      </c>
      <c r="E42" s="17" t="s">
        <v>202</v>
      </c>
      <c r="F42" s="17" t="s">
        <v>203</v>
      </c>
      <c r="G42" s="17" t="s">
        <v>135</v>
      </c>
      <c r="H42" s="18" t="n">
        <v>1.5</v>
      </c>
      <c r="I42" s="16" t="s">
        <v>198</v>
      </c>
      <c r="J42" s="16"/>
    </row>
    <row r="43" customFormat="false" ht="24" hidden="false" customHeight="true" outlineLevel="0" collapsed="false">
      <c r="A43" s="16" t="s">
        <v>204</v>
      </c>
      <c r="B43" s="16" t="s">
        <v>46</v>
      </c>
      <c r="C43" s="16" t="n">
        <v>5</v>
      </c>
      <c r="D43" s="17" t="s">
        <v>96</v>
      </c>
      <c r="E43" s="17" t="s">
        <v>205</v>
      </c>
      <c r="F43" s="17" t="s">
        <v>206</v>
      </c>
      <c r="G43" s="17" t="s">
        <v>135</v>
      </c>
      <c r="H43" s="18" t="n">
        <v>2.5</v>
      </c>
      <c r="I43" s="16" t="s">
        <v>201</v>
      </c>
      <c r="J43" s="16"/>
    </row>
    <row r="44" customFormat="false" ht="24" hidden="false" customHeight="true" outlineLevel="0" collapsed="false">
      <c r="A44" s="16" t="s">
        <v>207</v>
      </c>
      <c r="B44" s="16" t="s">
        <v>46</v>
      </c>
      <c r="C44" s="16" t="n">
        <v>5</v>
      </c>
      <c r="D44" s="17" t="s">
        <v>84</v>
      </c>
      <c r="E44" s="17" t="s">
        <v>208</v>
      </c>
      <c r="F44" s="17" t="s">
        <v>209</v>
      </c>
      <c r="G44" s="17" t="s">
        <v>210</v>
      </c>
      <c r="H44" s="18" t="n">
        <v>2</v>
      </c>
      <c r="I44" s="16"/>
      <c r="J44" s="16"/>
    </row>
    <row r="45" customFormat="false" ht="24" hidden="false" customHeight="true" outlineLevel="0" collapsed="false">
      <c r="A45" s="16" t="s">
        <v>211</v>
      </c>
      <c r="B45" s="16" t="s">
        <v>46</v>
      </c>
      <c r="C45" s="16" t="n">
        <v>6</v>
      </c>
      <c r="D45" s="17" t="s">
        <v>74</v>
      </c>
      <c r="E45" s="17" t="s">
        <v>212</v>
      </c>
      <c r="F45" s="17" t="s">
        <v>213</v>
      </c>
      <c r="G45" s="17" t="s">
        <v>77</v>
      </c>
      <c r="H45" s="18" t="n">
        <v>2</v>
      </c>
      <c r="I45" s="16" t="s">
        <v>201</v>
      </c>
      <c r="J45" s="16"/>
    </row>
    <row r="46" customFormat="false" ht="24" hidden="false" customHeight="true" outlineLevel="0" collapsed="false">
      <c r="A46" s="16" t="s">
        <v>214</v>
      </c>
      <c r="B46" s="16" t="s">
        <v>46</v>
      </c>
      <c r="C46" s="16" t="n">
        <v>6</v>
      </c>
      <c r="D46" s="17" t="s">
        <v>168</v>
      </c>
      <c r="E46" s="17" t="s">
        <v>215</v>
      </c>
      <c r="F46" s="17" t="s">
        <v>216</v>
      </c>
      <c r="G46" s="17" t="s">
        <v>163</v>
      </c>
      <c r="H46" s="18" t="n">
        <v>1.5</v>
      </c>
      <c r="I46" s="16" t="s">
        <v>189</v>
      </c>
      <c r="J46" s="16"/>
    </row>
    <row r="47" customFormat="false" ht="24" hidden="false" customHeight="true" outlineLevel="0" collapsed="false">
      <c r="A47" s="16" t="s">
        <v>217</v>
      </c>
      <c r="B47" s="16" t="s">
        <v>46</v>
      </c>
      <c r="C47" s="16" t="n">
        <v>6</v>
      </c>
      <c r="D47" s="17" t="s">
        <v>91</v>
      </c>
      <c r="E47" s="17" t="s">
        <v>218</v>
      </c>
      <c r="F47" s="17" t="s">
        <v>219</v>
      </c>
      <c r="G47" s="17" t="s">
        <v>135</v>
      </c>
      <c r="H47" s="18" t="n">
        <v>1</v>
      </c>
      <c r="I47" s="16" t="s">
        <v>214</v>
      </c>
      <c r="J47" s="16"/>
    </row>
    <row r="48" customFormat="false" ht="24" hidden="false" customHeight="true" outlineLevel="0" collapsed="false">
      <c r="A48" s="16" t="s">
        <v>220</v>
      </c>
      <c r="B48" s="16" t="s">
        <v>46</v>
      </c>
      <c r="C48" s="16" t="n">
        <v>7</v>
      </c>
      <c r="D48" s="17" t="s">
        <v>131</v>
      </c>
      <c r="E48" s="17" t="s">
        <v>221</v>
      </c>
      <c r="F48" s="17" t="s">
        <v>222</v>
      </c>
      <c r="G48" s="17" t="s">
        <v>77</v>
      </c>
      <c r="H48" s="18" t="n">
        <v>3</v>
      </c>
      <c r="I48" s="16" t="s">
        <v>195</v>
      </c>
      <c r="J48" s="16"/>
    </row>
    <row r="49" customFormat="false" ht="24" hidden="false" customHeight="true" outlineLevel="0" collapsed="false">
      <c r="A49" s="16" t="s">
        <v>223</v>
      </c>
      <c r="B49" s="16" t="s">
        <v>46</v>
      </c>
      <c r="C49" s="16" t="n">
        <v>7</v>
      </c>
      <c r="D49" s="17" t="s">
        <v>135</v>
      </c>
      <c r="E49" s="17" t="s">
        <v>136</v>
      </c>
      <c r="F49" s="17" t="s">
        <v>137</v>
      </c>
      <c r="G49" s="17" t="s">
        <v>135</v>
      </c>
      <c r="H49" s="18" t="n">
        <v>2.5</v>
      </c>
      <c r="I49" s="16" t="s">
        <v>220</v>
      </c>
      <c r="J49" s="16"/>
    </row>
    <row r="50" customFormat="false" ht="24" hidden="false" customHeight="true" outlineLevel="0" collapsed="false">
      <c r="A50" s="16" t="s">
        <v>224</v>
      </c>
      <c r="B50" s="16" t="s">
        <v>46</v>
      </c>
      <c r="C50" s="16" t="n">
        <v>7</v>
      </c>
      <c r="D50" s="17" t="s">
        <v>168</v>
      </c>
      <c r="E50" s="17" t="s">
        <v>225</v>
      </c>
      <c r="F50" s="17" t="s">
        <v>226</v>
      </c>
      <c r="G50" s="17" t="s">
        <v>163</v>
      </c>
      <c r="H50" s="18" t="n">
        <v>1</v>
      </c>
      <c r="I50" s="16" t="s">
        <v>220</v>
      </c>
      <c r="J50" s="16"/>
    </row>
    <row r="51" customFormat="false" ht="24" hidden="false" customHeight="true" outlineLevel="0" collapsed="false">
      <c r="A51" s="16" t="s">
        <v>227</v>
      </c>
      <c r="B51" s="16" t="s">
        <v>46</v>
      </c>
      <c r="C51" s="16" t="n">
        <v>8</v>
      </c>
      <c r="D51" s="17" t="s">
        <v>145</v>
      </c>
      <c r="E51" s="17" t="s">
        <v>228</v>
      </c>
      <c r="F51" s="17" t="s">
        <v>147</v>
      </c>
      <c r="G51" s="17" t="s">
        <v>148</v>
      </c>
      <c r="H51" s="18" t="n">
        <v>1</v>
      </c>
      <c r="I51" s="16" t="s">
        <v>224</v>
      </c>
      <c r="J51" s="16"/>
    </row>
    <row r="52" customFormat="false" ht="24" hidden="false" customHeight="true" outlineLevel="0" collapsed="false">
      <c r="A52" s="16" t="s">
        <v>229</v>
      </c>
      <c r="B52" s="16" t="s">
        <v>46</v>
      </c>
      <c r="C52" s="16" t="n">
        <v>8</v>
      </c>
      <c r="D52" s="17" t="s">
        <v>150</v>
      </c>
      <c r="E52" s="17" t="s">
        <v>230</v>
      </c>
      <c r="F52" s="17" t="s">
        <v>231</v>
      </c>
      <c r="G52" s="17" t="s">
        <v>135</v>
      </c>
      <c r="H52" s="18" t="n">
        <v>3</v>
      </c>
      <c r="I52" s="16" t="s">
        <v>227</v>
      </c>
      <c r="J52" s="16"/>
    </row>
    <row r="53" customFormat="false" ht="24" hidden="false" customHeight="true" outlineLevel="0" collapsed="false">
      <c r="A53" s="16" t="s">
        <v>232</v>
      </c>
      <c r="B53" s="16" t="s">
        <v>46</v>
      </c>
      <c r="C53" s="16" t="n">
        <v>8</v>
      </c>
      <c r="D53" s="17" t="s">
        <v>150</v>
      </c>
      <c r="E53" s="17" t="s">
        <v>233</v>
      </c>
      <c r="F53" s="17" t="s">
        <v>234</v>
      </c>
      <c r="G53" s="17" t="s">
        <v>77</v>
      </c>
      <c r="H53" s="18" t="n">
        <v>1.5</v>
      </c>
      <c r="I53" s="16" t="s">
        <v>229</v>
      </c>
      <c r="J53" s="16"/>
    </row>
    <row r="54" customFormat="false" ht="15" hidden="false" customHeight="false" outlineLevel="0" collapsed="false">
      <c r="A54" s="19"/>
      <c r="B54" s="19"/>
      <c r="C54" s="19"/>
      <c r="D54" s="19"/>
      <c r="E54" s="20" t="s">
        <v>235</v>
      </c>
      <c r="F54" s="19"/>
      <c r="G54" s="19"/>
      <c r="H54" s="21" t="n">
        <f aca="false">SUM(H5:H53)</f>
        <v>88</v>
      </c>
      <c r="I54" s="19"/>
      <c r="J54" s="19"/>
    </row>
  </sheetData>
  <autoFilter ref="A4:J53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J5:J53" type="list">
      <formula1>"Belum,Berjalan,Selesai,Blocked"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9.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21</v>
      </c>
      <c r="B4" s="7" t="s">
        <v>22</v>
      </c>
      <c r="C4" s="7" t="s">
        <v>23</v>
      </c>
      <c r="D4" s="7" t="s">
        <v>82</v>
      </c>
      <c r="E4" s="7" t="s">
        <v>238</v>
      </c>
      <c r="F4" s="7" t="s">
        <v>102</v>
      </c>
      <c r="G4" s="7" t="s">
        <v>163</v>
      </c>
      <c r="H4" s="7" t="s">
        <v>77</v>
      </c>
    </row>
    <row r="5" customFormat="false" ht="15" hidden="false" customHeight="false" outlineLevel="0" collapsed="false">
      <c r="A5" s="22" t="s">
        <v>26</v>
      </c>
      <c r="B5" s="23" t="n">
        <v>1</v>
      </c>
      <c r="C5" s="24" t="s">
        <v>27</v>
      </c>
      <c r="D5" s="25" t="n">
        <f aca="false">SUMIFS('Rencana Kerja'!$H$5:$H$53,'Rencana Kerja'!$B$5:$B$53,$A5,'Rencana Kerja'!$C$5:$C$53,$B5,'Rencana Kerja'!$G$5:$G$53,"Tech Lead")</f>
        <v>1.5</v>
      </c>
      <c r="E5" s="25" t="n">
        <f aca="false">SUMIFS('Rencana Kerja'!$H$5:$H$53,'Rencana Kerja'!$B$5:$B$53,$A5,'Rencana Kerja'!$C$5:$C$53,$B5,'Rencana Kerja'!$G$5:$G$53,"Dev 1")</f>
        <v>0</v>
      </c>
      <c r="F5" s="25" t="n">
        <f aca="false">SUMIFS('Rencana Kerja'!$H$5:$H$53,'Rencana Kerja'!$B$5:$B$53,$A5,'Rencana Kerja'!$C$5:$C$53,$B5,'Rencana Kerja'!$G$5:$G$53,"Dev 2")</f>
        <v>0</v>
      </c>
      <c r="G5" s="25" t="n">
        <f aca="false">SUMIFS('Rencana Kerja'!$H$5:$H$53,'Rencana Kerja'!$B$5:$B$53,$A5,'Rencana Kerja'!$C$5:$C$53,$B5,'Rencana Kerja'!$G$5:$G$53,"Integrator ERP")</f>
        <v>0</v>
      </c>
      <c r="H5" s="25" t="n">
        <f aca="false">SUMIFS('Rencana Kerja'!$H$5:$H$53,'Rencana Kerja'!$B$5:$B$53,$A5,'Rencana Kerja'!$C$5:$C$53,$B5,'Rencana Kerja'!$G$5:$G$53,"BA/QA")</f>
        <v>3.5</v>
      </c>
    </row>
    <row r="6" customFormat="false" ht="15" hidden="false" customHeight="false" outlineLevel="0" collapsed="false">
      <c r="A6" s="22" t="s">
        <v>26</v>
      </c>
      <c r="B6" s="23" t="n">
        <v>2</v>
      </c>
      <c r="C6" s="24" t="s">
        <v>31</v>
      </c>
      <c r="D6" s="25" t="n">
        <f aca="false">SUMIFS('Rencana Kerja'!$H$5:$H$53,'Rencana Kerja'!$B$5:$B$53,$A6,'Rencana Kerja'!$C$5:$C$53,$B6,'Rencana Kerja'!$G$5:$G$53,"Tech Lead")</f>
        <v>0</v>
      </c>
      <c r="E6" s="25" t="n">
        <f aca="false">SUMIFS('Rencana Kerja'!$H$5:$H$53,'Rencana Kerja'!$B$5:$B$53,$A6,'Rencana Kerja'!$C$5:$C$53,$B6,'Rencana Kerja'!$G$5:$G$53,"Dev 1")</f>
        <v>4.5</v>
      </c>
      <c r="F6" s="25" t="n">
        <f aca="false">SUMIFS('Rencana Kerja'!$H$5:$H$53,'Rencana Kerja'!$B$5:$B$53,$A6,'Rencana Kerja'!$C$5:$C$53,$B6,'Rencana Kerja'!$G$5:$G$53,"Dev 2")</f>
        <v>3</v>
      </c>
      <c r="G6" s="25" t="n">
        <f aca="false">SUMIFS('Rencana Kerja'!$H$5:$H$53,'Rencana Kerja'!$B$5:$B$53,$A6,'Rencana Kerja'!$C$5:$C$53,$B6,'Rencana Kerja'!$G$5:$G$53,"Integrator ERP")</f>
        <v>0</v>
      </c>
      <c r="H6" s="25" t="n">
        <f aca="false">SUMIFS('Rencana Kerja'!$H$5:$H$53,'Rencana Kerja'!$B$5:$B$53,$A6,'Rencana Kerja'!$C$5:$C$53,$B6,'Rencana Kerja'!$G$5:$G$53,"BA/QA")</f>
        <v>0</v>
      </c>
    </row>
    <row r="7" customFormat="false" ht="15" hidden="false" customHeight="false" outlineLevel="0" collapsed="false">
      <c r="A7" s="22" t="s">
        <v>26</v>
      </c>
      <c r="B7" s="23" t="n">
        <v>3</v>
      </c>
      <c r="C7" s="24" t="s">
        <v>34</v>
      </c>
      <c r="D7" s="25" t="n">
        <f aca="false">SUMIFS('Rencana Kerja'!$H$5:$H$53,'Rencana Kerja'!$B$5:$B$53,$A7,'Rencana Kerja'!$C$5:$C$53,$B7,'Rencana Kerja'!$G$5:$G$53,"Tech Lead")</f>
        <v>0</v>
      </c>
      <c r="E7" s="25" t="n">
        <f aca="false">SUMIFS('Rencana Kerja'!$H$5:$H$53,'Rencana Kerja'!$B$5:$B$53,$A7,'Rencana Kerja'!$C$5:$C$53,$B7,'Rencana Kerja'!$G$5:$G$53,"Dev 1")</f>
        <v>2</v>
      </c>
      <c r="F7" s="25" t="n">
        <f aca="false">SUMIFS('Rencana Kerja'!$H$5:$H$53,'Rencana Kerja'!$B$5:$B$53,$A7,'Rencana Kerja'!$C$5:$C$53,$B7,'Rencana Kerja'!$G$5:$G$53,"Dev 2")</f>
        <v>3</v>
      </c>
      <c r="G7" s="25" t="n">
        <f aca="false">SUMIFS('Rencana Kerja'!$H$5:$H$53,'Rencana Kerja'!$B$5:$B$53,$A7,'Rencana Kerja'!$C$5:$C$53,$B7,'Rencana Kerja'!$G$5:$G$53,"Integrator ERP")</f>
        <v>0</v>
      </c>
      <c r="H7" s="25" t="n">
        <f aca="false">SUMIFS('Rencana Kerja'!$H$5:$H$53,'Rencana Kerja'!$B$5:$B$53,$A7,'Rencana Kerja'!$C$5:$C$53,$B7,'Rencana Kerja'!$G$5:$G$53,"BA/QA")</f>
        <v>1</v>
      </c>
    </row>
    <row r="8" customFormat="false" ht="15" hidden="false" customHeight="false" outlineLevel="0" collapsed="false">
      <c r="A8" s="22" t="s">
        <v>26</v>
      </c>
      <c r="B8" s="23" t="n">
        <v>4</v>
      </c>
      <c r="C8" s="24" t="s">
        <v>37</v>
      </c>
      <c r="D8" s="25" t="n">
        <f aca="false">SUMIFS('Rencana Kerja'!$H$5:$H$53,'Rencana Kerja'!$B$5:$B$53,$A8,'Rencana Kerja'!$C$5:$C$53,$B8,'Rencana Kerja'!$G$5:$G$53,"Tech Lead")</f>
        <v>0</v>
      </c>
      <c r="E8" s="25" t="n">
        <f aca="false">SUMIFS('Rencana Kerja'!$H$5:$H$53,'Rencana Kerja'!$B$5:$B$53,$A8,'Rencana Kerja'!$C$5:$C$53,$B8,'Rencana Kerja'!$G$5:$G$53,"Dev 1")</f>
        <v>4.5</v>
      </c>
      <c r="F8" s="25" t="n">
        <f aca="false">SUMIFS('Rencana Kerja'!$H$5:$H$53,'Rencana Kerja'!$B$5:$B$53,$A8,'Rencana Kerja'!$C$5:$C$53,$B8,'Rencana Kerja'!$G$5:$G$53,"Dev 2")</f>
        <v>2</v>
      </c>
      <c r="G8" s="25" t="n">
        <f aca="false">SUMIFS('Rencana Kerja'!$H$5:$H$53,'Rencana Kerja'!$B$5:$B$53,$A8,'Rencana Kerja'!$C$5:$C$53,$B8,'Rencana Kerja'!$G$5:$G$53,"Integrator ERP")</f>
        <v>0</v>
      </c>
      <c r="H8" s="25" t="n">
        <f aca="false">SUMIFS('Rencana Kerja'!$H$5:$H$53,'Rencana Kerja'!$B$5:$B$53,$A8,'Rencana Kerja'!$C$5:$C$53,$B8,'Rencana Kerja'!$G$5:$G$53,"BA/QA")</f>
        <v>1.5</v>
      </c>
    </row>
    <row r="9" customFormat="false" ht="15" hidden="false" customHeight="false" outlineLevel="0" collapsed="false">
      <c r="A9" s="22" t="s">
        <v>26</v>
      </c>
      <c r="B9" s="23" t="n">
        <v>5</v>
      </c>
      <c r="C9" s="24" t="s">
        <v>40</v>
      </c>
      <c r="D9" s="25" t="n">
        <f aca="false">SUMIFS('Rencana Kerja'!$H$5:$H$53,'Rencana Kerja'!$B$5:$B$53,$A9,'Rencana Kerja'!$C$5:$C$53,$B9,'Rencana Kerja'!$G$5:$G$53,"Tech Lead")</f>
        <v>1</v>
      </c>
      <c r="E9" s="25" t="n">
        <f aca="false">SUMIFS('Rencana Kerja'!$H$5:$H$53,'Rencana Kerja'!$B$5:$B$53,$A9,'Rencana Kerja'!$C$5:$C$53,$B9,'Rencana Kerja'!$G$5:$G$53,"Dev 1")</f>
        <v>2</v>
      </c>
      <c r="F9" s="25" t="n">
        <f aca="false">SUMIFS('Rencana Kerja'!$H$5:$H$53,'Rencana Kerja'!$B$5:$B$53,$A9,'Rencana Kerja'!$C$5:$C$53,$B9,'Rencana Kerja'!$G$5:$G$53,"Dev 2")</f>
        <v>0</v>
      </c>
      <c r="G9" s="25" t="n">
        <f aca="false">SUMIFS('Rencana Kerja'!$H$5:$H$53,'Rencana Kerja'!$B$5:$B$53,$A9,'Rencana Kerja'!$C$5:$C$53,$B9,'Rencana Kerja'!$G$5:$G$53,"Integrator ERP")</f>
        <v>0</v>
      </c>
      <c r="H9" s="25" t="n">
        <f aca="false">SUMIFS('Rencana Kerja'!$H$5:$H$53,'Rencana Kerja'!$B$5:$B$53,$A9,'Rencana Kerja'!$C$5:$C$53,$B9,'Rencana Kerja'!$G$5:$G$53,"BA/QA")</f>
        <v>4</v>
      </c>
    </row>
    <row r="10" customFormat="false" ht="15" hidden="false" customHeight="false" outlineLevel="0" collapsed="false">
      <c r="A10" s="22" t="s">
        <v>26</v>
      </c>
      <c r="B10" s="23" t="n">
        <v>6</v>
      </c>
      <c r="C10" s="24" t="s">
        <v>43</v>
      </c>
      <c r="D10" s="25" t="n">
        <f aca="false">SUMIFS('Rencana Kerja'!$H$5:$H$53,'Rencana Kerja'!$B$5:$B$53,$A10,'Rencana Kerja'!$C$5:$C$53,$B10,'Rencana Kerja'!$G$5:$G$53,"Tech Lead")</f>
        <v>0</v>
      </c>
      <c r="E10" s="25" t="n">
        <f aca="false">SUMIFS('Rencana Kerja'!$H$5:$H$53,'Rencana Kerja'!$B$5:$B$53,$A10,'Rencana Kerja'!$C$5:$C$53,$B10,'Rencana Kerja'!$G$5:$G$53,"Dev 1")</f>
        <v>0</v>
      </c>
      <c r="F10" s="25" t="n">
        <f aca="false">SUMIFS('Rencana Kerja'!$H$5:$H$53,'Rencana Kerja'!$B$5:$B$53,$A10,'Rencana Kerja'!$C$5:$C$53,$B10,'Rencana Kerja'!$G$5:$G$53,"Dev 2")</f>
        <v>3</v>
      </c>
      <c r="G10" s="25" t="n">
        <f aca="false">SUMIFS('Rencana Kerja'!$H$5:$H$53,'Rencana Kerja'!$B$5:$B$53,$A10,'Rencana Kerja'!$C$5:$C$53,$B10,'Rencana Kerja'!$G$5:$G$53,"Integrator ERP")</f>
        <v>0</v>
      </c>
      <c r="H10" s="25" t="n">
        <f aca="false">SUMIFS('Rencana Kerja'!$H$5:$H$53,'Rencana Kerja'!$B$5:$B$53,$A10,'Rencana Kerja'!$C$5:$C$53,$B10,'Rencana Kerja'!$G$5:$G$53,"BA/QA")</f>
        <v>1</v>
      </c>
    </row>
    <row r="11" customFormat="false" ht="15" hidden="false" customHeight="false" outlineLevel="0" collapsed="false">
      <c r="A11" s="26" t="s">
        <v>46</v>
      </c>
      <c r="B11" s="23" t="n">
        <v>1</v>
      </c>
      <c r="C11" s="24" t="s">
        <v>47</v>
      </c>
      <c r="D11" s="25" t="n">
        <f aca="false">SUMIFS('Rencana Kerja'!$H$5:$H$53,'Rencana Kerja'!$B$5:$B$53,$A11,'Rencana Kerja'!$C$5:$C$53,$B11,'Rencana Kerja'!$G$5:$G$53,"Tech Lead")</f>
        <v>2.5</v>
      </c>
      <c r="E11" s="25" t="n">
        <f aca="false">SUMIFS('Rencana Kerja'!$H$5:$H$53,'Rencana Kerja'!$B$5:$B$53,$A11,'Rencana Kerja'!$C$5:$C$53,$B11,'Rencana Kerja'!$G$5:$G$53,"Dev")</f>
        <v>0</v>
      </c>
      <c r="F11" s="25" t="n">
        <f aca="false">SUMIFS('Rencana Kerja'!$H$5:$H$53,'Rencana Kerja'!$B$5:$B$53,$A11,'Rencana Kerja'!$C$5:$C$53,$B11,'Rencana Kerja'!$G$5:$G$53,"Dev 2")</f>
        <v>0</v>
      </c>
      <c r="G11" s="25" t="n">
        <f aca="false">SUMIFS('Rencana Kerja'!$H$5:$H$53,'Rencana Kerja'!$B$5:$B$53,$A11,'Rencana Kerja'!$C$5:$C$53,$B11,'Rencana Kerja'!$G$5:$G$53,"Integrator ERP")</f>
        <v>2.5</v>
      </c>
      <c r="H11" s="25" t="n">
        <f aca="false">SUMIFS('Rencana Kerja'!$H$5:$H$53,'Rencana Kerja'!$B$5:$B$53,$A11,'Rencana Kerja'!$C$5:$C$53,$B11,'Rencana Kerja'!$G$5:$G$53,"BA/QA")</f>
        <v>0</v>
      </c>
    </row>
    <row r="12" customFormat="false" ht="15" hidden="false" customHeight="false" outlineLevel="0" collapsed="false">
      <c r="A12" s="26" t="s">
        <v>46</v>
      </c>
      <c r="B12" s="23" t="n">
        <v>2</v>
      </c>
      <c r="C12" s="24" t="s">
        <v>50</v>
      </c>
      <c r="D12" s="25" t="n">
        <f aca="false">SUMIFS('Rencana Kerja'!$H$5:$H$53,'Rencana Kerja'!$B$5:$B$53,$A12,'Rencana Kerja'!$C$5:$C$53,$B12,'Rencana Kerja'!$G$5:$G$53,"Tech Lead")</f>
        <v>0</v>
      </c>
      <c r="E12" s="25" t="n">
        <f aca="false">SUMIFS('Rencana Kerja'!$H$5:$H$53,'Rencana Kerja'!$B$5:$B$53,$A12,'Rencana Kerja'!$C$5:$C$53,$B12,'Rencana Kerja'!$G$5:$G$53,"Dev")</f>
        <v>4</v>
      </c>
      <c r="F12" s="25" t="n">
        <f aca="false">SUMIFS('Rencana Kerja'!$H$5:$H$53,'Rencana Kerja'!$B$5:$B$53,$A12,'Rencana Kerja'!$C$5:$C$53,$B12,'Rencana Kerja'!$G$5:$G$53,"Dev 2")</f>
        <v>0</v>
      </c>
      <c r="G12" s="25" t="n">
        <f aca="false">SUMIFS('Rencana Kerja'!$H$5:$H$53,'Rencana Kerja'!$B$5:$B$53,$A12,'Rencana Kerja'!$C$5:$C$53,$B12,'Rencana Kerja'!$G$5:$G$53,"Integrator ERP")</f>
        <v>3</v>
      </c>
      <c r="H12" s="25" t="n">
        <f aca="false">SUMIFS('Rencana Kerja'!$H$5:$H$53,'Rencana Kerja'!$B$5:$B$53,$A12,'Rencana Kerja'!$C$5:$C$53,$B12,'Rencana Kerja'!$G$5:$G$53,"BA/QA")</f>
        <v>0</v>
      </c>
    </row>
    <row r="13" customFormat="false" ht="15" hidden="false" customHeight="false" outlineLevel="0" collapsed="false">
      <c r="A13" s="26" t="s">
        <v>46</v>
      </c>
      <c r="B13" s="23" t="n">
        <v>3</v>
      </c>
      <c r="C13" s="24" t="s">
        <v>239</v>
      </c>
      <c r="D13" s="25" t="n">
        <f aca="false">SUMIFS('Rencana Kerja'!$H$5:$H$53,'Rencana Kerja'!$B$5:$B$53,$A13,'Rencana Kerja'!$C$5:$C$53,$B13,'Rencana Kerja'!$G$5:$G$53,"Tech Lead")</f>
        <v>0</v>
      </c>
      <c r="E13" s="25" t="n">
        <f aca="false">SUMIFS('Rencana Kerja'!$H$5:$H$53,'Rencana Kerja'!$B$5:$B$53,$A13,'Rencana Kerja'!$C$5:$C$53,$B13,'Rencana Kerja'!$G$5:$G$53,"Dev")</f>
        <v>1.5</v>
      </c>
      <c r="F13" s="25" t="n">
        <f aca="false">SUMIFS('Rencana Kerja'!$H$5:$H$53,'Rencana Kerja'!$B$5:$B$53,$A13,'Rencana Kerja'!$C$5:$C$53,$B13,'Rencana Kerja'!$G$5:$G$53,"Dev 2")</f>
        <v>0</v>
      </c>
      <c r="G13" s="25" t="n">
        <f aca="false">SUMIFS('Rencana Kerja'!$H$5:$H$53,'Rencana Kerja'!$B$5:$B$53,$A13,'Rencana Kerja'!$C$5:$C$53,$B13,'Rencana Kerja'!$G$5:$G$53,"Integrator ERP")</f>
        <v>4.5</v>
      </c>
      <c r="H13" s="25" t="n">
        <f aca="false">SUMIFS('Rencana Kerja'!$H$5:$H$53,'Rencana Kerja'!$B$5:$B$53,$A13,'Rencana Kerja'!$C$5:$C$53,$B13,'Rencana Kerja'!$G$5:$G$53,"BA/QA")</f>
        <v>0</v>
      </c>
    </row>
    <row r="14" customFormat="false" ht="15" hidden="false" customHeight="false" outlineLevel="0" collapsed="false">
      <c r="A14" s="26" t="s">
        <v>46</v>
      </c>
      <c r="B14" s="23" t="n">
        <v>4</v>
      </c>
      <c r="C14" s="24" t="s">
        <v>53</v>
      </c>
      <c r="D14" s="25" t="n">
        <f aca="false">SUMIFS('Rencana Kerja'!$H$5:$H$53,'Rencana Kerja'!$B$5:$B$53,$A14,'Rencana Kerja'!$C$5:$C$53,$B14,'Rencana Kerja'!$G$5:$G$53,"Tech Lead")</f>
        <v>0</v>
      </c>
      <c r="E14" s="25" t="n">
        <f aca="false">SUMIFS('Rencana Kerja'!$H$5:$H$53,'Rencana Kerja'!$B$5:$B$53,$A14,'Rencana Kerja'!$C$5:$C$53,$B14,'Rencana Kerja'!$G$5:$G$53,"Dev")</f>
        <v>0</v>
      </c>
      <c r="F14" s="25" t="n">
        <f aca="false">SUMIFS('Rencana Kerja'!$H$5:$H$53,'Rencana Kerja'!$B$5:$B$53,$A14,'Rencana Kerja'!$C$5:$C$53,$B14,'Rencana Kerja'!$G$5:$G$53,"Dev 2")</f>
        <v>0</v>
      </c>
      <c r="G14" s="25" t="n">
        <f aca="false">SUMIFS('Rencana Kerja'!$H$5:$H$53,'Rencana Kerja'!$B$5:$B$53,$A14,'Rencana Kerja'!$C$5:$C$53,$B14,'Rencana Kerja'!$G$5:$G$53,"Integrator ERP")</f>
        <v>4.5</v>
      </c>
      <c r="H14" s="25" t="n">
        <f aca="false">SUMIFS('Rencana Kerja'!$H$5:$H$53,'Rencana Kerja'!$B$5:$B$53,$A14,'Rencana Kerja'!$C$5:$C$53,$B14,'Rencana Kerja'!$G$5:$G$53,"BA/QA")</f>
        <v>2</v>
      </c>
    </row>
    <row r="15" customFormat="false" ht="15" hidden="false" customHeight="false" outlineLevel="0" collapsed="false">
      <c r="A15" s="26" t="s">
        <v>46</v>
      </c>
      <c r="B15" s="23" t="n">
        <v>5</v>
      </c>
      <c r="C15" s="24" t="s">
        <v>56</v>
      </c>
      <c r="D15" s="25" t="n">
        <f aca="false">SUMIFS('Rencana Kerja'!$H$5:$H$53,'Rencana Kerja'!$B$5:$B$53,$A15,'Rencana Kerja'!$C$5:$C$53,$B15,'Rencana Kerja'!$G$5:$G$53,"Tech Lead")</f>
        <v>0</v>
      </c>
      <c r="E15" s="25" t="n">
        <f aca="false">SUMIFS('Rencana Kerja'!$H$5:$H$53,'Rencana Kerja'!$B$5:$B$53,$A15,'Rencana Kerja'!$C$5:$C$53,$B15,'Rencana Kerja'!$G$5:$G$53,"Dev")</f>
        <v>4</v>
      </c>
      <c r="F15" s="25" t="n">
        <f aca="false">SUMIFS('Rencana Kerja'!$H$5:$H$53,'Rencana Kerja'!$B$5:$B$53,$A15,'Rencana Kerja'!$C$5:$C$53,$B15,'Rencana Kerja'!$G$5:$G$53,"Dev 2")</f>
        <v>0</v>
      </c>
      <c r="G15" s="25" t="n">
        <f aca="false">SUMIFS('Rencana Kerja'!$H$5:$H$53,'Rencana Kerja'!$B$5:$B$53,$A15,'Rencana Kerja'!$C$5:$C$53,$B15,'Rencana Kerja'!$G$5:$G$53,"Integrator ERP")</f>
        <v>0</v>
      </c>
      <c r="H15" s="25" t="n">
        <f aca="false">SUMIFS('Rencana Kerja'!$H$5:$H$53,'Rencana Kerja'!$B$5:$B$53,$A15,'Rencana Kerja'!$C$5:$C$53,$B15,'Rencana Kerja'!$G$5:$G$53,"BA/QA")</f>
        <v>2</v>
      </c>
    </row>
    <row r="16" customFormat="false" ht="15" hidden="false" customHeight="false" outlineLevel="0" collapsed="false">
      <c r="A16" s="26" t="s">
        <v>46</v>
      </c>
      <c r="B16" s="23" t="n">
        <v>6</v>
      </c>
      <c r="C16" s="24" t="s">
        <v>240</v>
      </c>
      <c r="D16" s="25" t="n">
        <f aca="false">SUMIFS('Rencana Kerja'!$H$5:$H$53,'Rencana Kerja'!$B$5:$B$53,$A16,'Rencana Kerja'!$C$5:$C$53,$B16,'Rencana Kerja'!$G$5:$G$53,"Tech Lead")</f>
        <v>0</v>
      </c>
      <c r="E16" s="25" t="n">
        <f aca="false">SUMIFS('Rencana Kerja'!$H$5:$H$53,'Rencana Kerja'!$B$5:$B$53,$A16,'Rencana Kerja'!$C$5:$C$53,$B16,'Rencana Kerja'!$G$5:$G$53,"Dev")</f>
        <v>1</v>
      </c>
      <c r="F16" s="25" t="n">
        <f aca="false">SUMIFS('Rencana Kerja'!$H$5:$H$53,'Rencana Kerja'!$B$5:$B$53,$A16,'Rencana Kerja'!$C$5:$C$53,$B16,'Rencana Kerja'!$G$5:$G$53,"Dev 2")</f>
        <v>0</v>
      </c>
      <c r="G16" s="25" t="n">
        <f aca="false">SUMIFS('Rencana Kerja'!$H$5:$H$53,'Rencana Kerja'!$B$5:$B$53,$A16,'Rencana Kerja'!$C$5:$C$53,$B16,'Rencana Kerja'!$G$5:$G$53,"Integrator ERP")</f>
        <v>1.5</v>
      </c>
      <c r="H16" s="25" t="n">
        <f aca="false">SUMIFS('Rencana Kerja'!$H$5:$H$53,'Rencana Kerja'!$B$5:$B$53,$A16,'Rencana Kerja'!$C$5:$C$53,$B16,'Rencana Kerja'!$G$5:$G$53,"BA/QA")</f>
        <v>2</v>
      </c>
    </row>
    <row r="17" customFormat="false" ht="15" hidden="false" customHeight="false" outlineLevel="0" collapsed="false">
      <c r="A17" s="26" t="s">
        <v>46</v>
      </c>
      <c r="B17" s="23" t="n">
        <v>7</v>
      </c>
      <c r="C17" s="24" t="s">
        <v>59</v>
      </c>
      <c r="D17" s="25" t="n">
        <f aca="false">SUMIFS('Rencana Kerja'!$H$5:$H$53,'Rencana Kerja'!$B$5:$B$53,$A17,'Rencana Kerja'!$C$5:$C$53,$B17,'Rencana Kerja'!$G$5:$G$53,"Tech Lead")</f>
        <v>0</v>
      </c>
      <c r="E17" s="25" t="n">
        <f aca="false">SUMIFS('Rencana Kerja'!$H$5:$H$53,'Rencana Kerja'!$B$5:$B$53,$A17,'Rencana Kerja'!$C$5:$C$53,$B17,'Rencana Kerja'!$G$5:$G$53,"Dev")</f>
        <v>2.5</v>
      </c>
      <c r="F17" s="25" t="n">
        <f aca="false">SUMIFS('Rencana Kerja'!$H$5:$H$53,'Rencana Kerja'!$B$5:$B$53,$A17,'Rencana Kerja'!$C$5:$C$53,$B17,'Rencana Kerja'!$G$5:$G$53,"Dev 2")</f>
        <v>0</v>
      </c>
      <c r="G17" s="25" t="n">
        <f aca="false">SUMIFS('Rencana Kerja'!$H$5:$H$53,'Rencana Kerja'!$B$5:$B$53,$A17,'Rencana Kerja'!$C$5:$C$53,$B17,'Rencana Kerja'!$G$5:$G$53,"Integrator ERP")</f>
        <v>1</v>
      </c>
      <c r="H17" s="25" t="n">
        <f aca="false">SUMIFS('Rencana Kerja'!$H$5:$H$53,'Rencana Kerja'!$B$5:$B$53,$A17,'Rencana Kerja'!$C$5:$C$53,$B17,'Rencana Kerja'!$G$5:$G$53,"BA/QA")</f>
        <v>3</v>
      </c>
    </row>
    <row r="18" customFormat="false" ht="15" hidden="false" customHeight="false" outlineLevel="0" collapsed="false">
      <c r="A18" s="26" t="s">
        <v>46</v>
      </c>
      <c r="B18" s="23" t="n">
        <v>8</v>
      </c>
      <c r="C18" s="24" t="s">
        <v>62</v>
      </c>
      <c r="D18" s="25" t="n">
        <f aca="false">SUMIFS('Rencana Kerja'!$H$5:$H$53,'Rencana Kerja'!$B$5:$B$53,$A18,'Rencana Kerja'!$C$5:$C$53,$B18,'Rencana Kerja'!$G$5:$G$53,"Tech Lead")</f>
        <v>0</v>
      </c>
      <c r="E18" s="25" t="n">
        <f aca="false">SUMIFS('Rencana Kerja'!$H$5:$H$53,'Rencana Kerja'!$B$5:$B$53,$A18,'Rencana Kerja'!$C$5:$C$53,$B18,'Rencana Kerja'!$G$5:$G$53,"Dev")</f>
        <v>3</v>
      </c>
      <c r="F18" s="25" t="n">
        <f aca="false">SUMIFS('Rencana Kerja'!$H$5:$H$53,'Rencana Kerja'!$B$5:$B$53,$A18,'Rencana Kerja'!$C$5:$C$53,$B18,'Rencana Kerja'!$G$5:$G$53,"Dev 2")</f>
        <v>0</v>
      </c>
      <c r="G18" s="25" t="n">
        <f aca="false">SUMIFS('Rencana Kerja'!$H$5:$H$53,'Rencana Kerja'!$B$5:$B$53,$A18,'Rencana Kerja'!$C$5:$C$53,$B18,'Rencana Kerja'!$G$5:$G$53,"Integrator ERP")</f>
        <v>0</v>
      </c>
      <c r="H18" s="25" t="n">
        <f aca="false">SUMIFS('Rencana Kerja'!$H$5:$H$53,'Rencana Kerja'!$B$5:$B$53,$A18,'Rencana Kerja'!$C$5:$C$53,$B18,'Rencana Kerja'!$G$5:$G$53,"BA/QA")</f>
        <v>1.5</v>
      </c>
    </row>
    <row r="20" customFormat="false" ht="19.4" hidden="false" customHeight="true" outlineLevel="0" collapsed="false">
      <c r="A20" s="27" t="s">
        <v>241</v>
      </c>
      <c r="B20" s="27"/>
      <c r="C20" s="27"/>
      <c r="D20" s="27"/>
      <c r="E20" s="27"/>
      <c r="F20" s="27"/>
      <c r="G20" s="27"/>
      <c r="H20" s="27"/>
    </row>
  </sheetData>
  <mergeCells count="3">
    <mergeCell ref="A1:H1"/>
    <mergeCell ref="A2:H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8"/>
  </cols>
  <sheetData>
    <row r="1" customFormat="false" ht="19.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243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66</v>
      </c>
      <c r="B4" s="7" t="s">
        <v>244</v>
      </c>
      <c r="C4" s="7" t="s">
        <v>245</v>
      </c>
      <c r="D4" s="7" t="s">
        <v>246</v>
      </c>
      <c r="E4" s="7" t="s">
        <v>247</v>
      </c>
      <c r="F4" s="7" t="s">
        <v>248</v>
      </c>
      <c r="G4" s="7" t="s">
        <v>249</v>
      </c>
      <c r="H4" s="7" t="s">
        <v>21</v>
      </c>
    </row>
    <row r="5" customFormat="false" ht="33.75" hidden="false" customHeight="true" outlineLevel="0" collapsed="false">
      <c r="A5" s="28" t="s">
        <v>250</v>
      </c>
      <c r="B5" s="28" t="s">
        <v>251</v>
      </c>
      <c r="C5" s="29" t="s">
        <v>252</v>
      </c>
      <c r="D5" s="30" t="s">
        <v>253</v>
      </c>
      <c r="E5" s="28" t="s">
        <v>254</v>
      </c>
      <c r="F5" s="29" t="s">
        <v>255</v>
      </c>
      <c r="G5" s="29" t="s">
        <v>77</v>
      </c>
      <c r="H5" s="28" t="s">
        <v>26</v>
      </c>
    </row>
    <row r="6" customFormat="false" ht="33.75" hidden="false" customHeight="true" outlineLevel="0" collapsed="false">
      <c r="A6" s="28" t="s">
        <v>256</v>
      </c>
      <c r="B6" s="28" t="s">
        <v>251</v>
      </c>
      <c r="C6" s="29" t="s">
        <v>257</v>
      </c>
      <c r="D6" s="30" t="s">
        <v>253</v>
      </c>
      <c r="E6" s="28" t="s">
        <v>254</v>
      </c>
      <c r="F6" s="29" t="s">
        <v>258</v>
      </c>
      <c r="G6" s="29" t="s">
        <v>259</v>
      </c>
      <c r="H6" s="28" t="s">
        <v>26</v>
      </c>
    </row>
    <row r="7" customFormat="false" ht="33.75" hidden="false" customHeight="true" outlineLevel="0" collapsed="false">
      <c r="A7" s="28" t="s">
        <v>260</v>
      </c>
      <c r="B7" s="28" t="s">
        <v>251</v>
      </c>
      <c r="C7" s="29" t="s">
        <v>261</v>
      </c>
      <c r="D7" s="30" t="s">
        <v>253</v>
      </c>
      <c r="E7" s="28" t="s">
        <v>254</v>
      </c>
      <c r="F7" s="29" t="s">
        <v>262</v>
      </c>
      <c r="G7" s="29" t="s">
        <v>102</v>
      </c>
      <c r="H7" s="28" t="s">
        <v>26</v>
      </c>
    </row>
    <row r="8" customFormat="false" ht="33.75" hidden="false" customHeight="true" outlineLevel="0" collapsed="false">
      <c r="A8" s="28" t="s">
        <v>263</v>
      </c>
      <c r="B8" s="28" t="s">
        <v>251</v>
      </c>
      <c r="C8" s="29" t="s">
        <v>264</v>
      </c>
      <c r="D8" s="31" t="s">
        <v>254</v>
      </c>
      <c r="E8" s="28" t="s">
        <v>253</v>
      </c>
      <c r="F8" s="29" t="s">
        <v>265</v>
      </c>
      <c r="G8" s="29" t="s">
        <v>82</v>
      </c>
      <c r="H8" s="28" t="s">
        <v>26</v>
      </c>
    </row>
    <row r="9" customFormat="false" ht="33.75" hidden="false" customHeight="true" outlineLevel="0" collapsed="false">
      <c r="A9" s="32" t="s">
        <v>266</v>
      </c>
      <c r="B9" s="32" t="s">
        <v>251</v>
      </c>
      <c r="C9" s="33" t="s">
        <v>267</v>
      </c>
      <c r="D9" s="30" t="s">
        <v>253</v>
      </c>
      <c r="E9" s="32" t="s">
        <v>253</v>
      </c>
      <c r="F9" s="33" t="s">
        <v>268</v>
      </c>
      <c r="G9" s="34" t="s">
        <v>259</v>
      </c>
      <c r="H9" s="32" t="s">
        <v>46</v>
      </c>
    </row>
    <row r="10" customFormat="false" ht="33.75" hidden="false" customHeight="true" outlineLevel="0" collapsed="false">
      <c r="A10" s="28" t="s">
        <v>269</v>
      </c>
      <c r="B10" s="28" t="s">
        <v>251</v>
      </c>
      <c r="C10" s="29" t="s">
        <v>270</v>
      </c>
      <c r="D10" s="30" t="s">
        <v>253</v>
      </c>
      <c r="E10" s="28" t="s">
        <v>254</v>
      </c>
      <c r="F10" s="29" t="s">
        <v>271</v>
      </c>
      <c r="G10" s="29" t="s">
        <v>135</v>
      </c>
      <c r="H10" s="28" t="s">
        <v>46</v>
      </c>
    </row>
    <row r="11" customFormat="false" ht="33.75" hidden="false" customHeight="true" outlineLevel="0" collapsed="false">
      <c r="A11" s="28" t="s">
        <v>272</v>
      </c>
      <c r="B11" s="28" t="s">
        <v>251</v>
      </c>
      <c r="C11" s="29" t="s">
        <v>273</v>
      </c>
      <c r="D11" s="30" t="s">
        <v>253</v>
      </c>
      <c r="E11" s="28" t="s">
        <v>254</v>
      </c>
      <c r="F11" s="29" t="s">
        <v>274</v>
      </c>
      <c r="G11" s="29" t="s">
        <v>82</v>
      </c>
      <c r="H11" s="28" t="s">
        <v>46</v>
      </c>
    </row>
    <row r="12" customFormat="false" ht="33.75" hidden="false" customHeight="true" outlineLevel="0" collapsed="false">
      <c r="A12" s="28" t="s">
        <v>275</v>
      </c>
      <c r="B12" s="28" t="s">
        <v>251</v>
      </c>
      <c r="C12" s="29" t="s">
        <v>276</v>
      </c>
      <c r="D12" s="31" t="s">
        <v>254</v>
      </c>
      <c r="E12" s="28" t="s">
        <v>253</v>
      </c>
      <c r="F12" s="29" t="s">
        <v>277</v>
      </c>
      <c r="G12" s="29" t="s">
        <v>210</v>
      </c>
      <c r="H12" s="28" t="s">
        <v>46</v>
      </c>
    </row>
    <row r="13" customFormat="false" ht="33.75" hidden="false" customHeight="true" outlineLevel="0" collapsed="false">
      <c r="A13" s="28" t="s">
        <v>278</v>
      </c>
      <c r="B13" s="28" t="s">
        <v>251</v>
      </c>
      <c r="C13" s="29" t="s">
        <v>279</v>
      </c>
      <c r="D13" s="31" t="s">
        <v>254</v>
      </c>
      <c r="E13" s="28" t="s">
        <v>254</v>
      </c>
      <c r="F13" s="29" t="s">
        <v>280</v>
      </c>
      <c r="G13" s="29" t="s">
        <v>135</v>
      </c>
      <c r="H13" s="28" t="s">
        <v>46</v>
      </c>
    </row>
    <row r="14" customFormat="false" ht="33.75" hidden="false" customHeight="true" outlineLevel="0" collapsed="false">
      <c r="A14" s="35" t="s">
        <v>281</v>
      </c>
      <c r="B14" s="35" t="s">
        <v>282</v>
      </c>
      <c r="C14" s="36" t="s">
        <v>283</v>
      </c>
      <c r="D14" s="37" t="s">
        <v>253</v>
      </c>
      <c r="E14" s="35" t="s">
        <v>284</v>
      </c>
      <c r="F14" s="36" t="s">
        <v>285</v>
      </c>
      <c r="G14" s="36" t="s">
        <v>259</v>
      </c>
      <c r="H14" s="35" t="s">
        <v>26</v>
      </c>
    </row>
    <row r="15" customFormat="false" ht="33.75" hidden="false" customHeight="true" outlineLevel="0" collapsed="false">
      <c r="A15" s="35" t="s">
        <v>286</v>
      </c>
      <c r="B15" s="35" t="s">
        <v>282</v>
      </c>
      <c r="C15" s="36" t="s">
        <v>287</v>
      </c>
      <c r="D15" s="37" t="s">
        <v>253</v>
      </c>
      <c r="E15" s="35" t="s">
        <v>284</v>
      </c>
      <c r="F15" s="36" t="s">
        <v>288</v>
      </c>
      <c r="G15" s="36" t="s">
        <v>163</v>
      </c>
      <c r="H15" s="35" t="s">
        <v>46</v>
      </c>
    </row>
    <row r="16" customFormat="false" ht="33.75" hidden="false" customHeight="true" outlineLevel="0" collapsed="false">
      <c r="A16" s="35" t="s">
        <v>289</v>
      </c>
      <c r="B16" s="35" t="s">
        <v>282</v>
      </c>
      <c r="C16" s="36" t="s">
        <v>290</v>
      </c>
      <c r="D16" s="37" t="s">
        <v>253</v>
      </c>
      <c r="E16" s="35" t="s">
        <v>284</v>
      </c>
      <c r="F16" s="36" t="s">
        <v>291</v>
      </c>
      <c r="G16" s="36" t="s">
        <v>163</v>
      </c>
      <c r="H16" s="35" t="s">
        <v>46</v>
      </c>
    </row>
    <row r="17" customFormat="false" ht="33.75" hidden="false" customHeight="true" outlineLevel="0" collapsed="false">
      <c r="A17" s="38" t="s">
        <v>292</v>
      </c>
      <c r="B17" s="38" t="s">
        <v>293</v>
      </c>
      <c r="C17" s="39" t="s">
        <v>294</v>
      </c>
      <c r="D17" s="40" t="s">
        <v>253</v>
      </c>
      <c r="E17" s="38" t="s">
        <v>284</v>
      </c>
      <c r="F17" s="39" t="s">
        <v>295</v>
      </c>
      <c r="G17" s="39" t="s">
        <v>107</v>
      </c>
      <c r="H17" s="38" t="s">
        <v>26</v>
      </c>
    </row>
    <row r="18" customFormat="false" ht="33.75" hidden="false" customHeight="true" outlineLevel="0" collapsed="false">
      <c r="A18" s="38" t="s">
        <v>296</v>
      </c>
      <c r="B18" s="38" t="s">
        <v>293</v>
      </c>
      <c r="C18" s="39" t="s">
        <v>297</v>
      </c>
      <c r="D18" s="40" t="s">
        <v>253</v>
      </c>
      <c r="E18" s="38" t="s">
        <v>284</v>
      </c>
      <c r="F18" s="39" t="s">
        <v>298</v>
      </c>
      <c r="G18" s="39" t="s">
        <v>259</v>
      </c>
      <c r="H18" s="38" t="s">
        <v>46</v>
      </c>
    </row>
    <row r="19" customFormat="false" ht="33.75" hidden="false" customHeight="true" outlineLevel="0" collapsed="false">
      <c r="A19" s="38" t="s">
        <v>299</v>
      </c>
      <c r="B19" s="38" t="s">
        <v>293</v>
      </c>
      <c r="C19" s="39" t="s">
        <v>300</v>
      </c>
      <c r="D19" s="40" t="s">
        <v>253</v>
      </c>
      <c r="E19" s="38" t="s">
        <v>284</v>
      </c>
      <c r="F19" s="39" t="s">
        <v>301</v>
      </c>
      <c r="G19" s="39" t="s">
        <v>210</v>
      </c>
      <c r="H19" s="38" t="s">
        <v>46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5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1" t="s">
        <v>302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303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7" t="s">
        <v>21</v>
      </c>
      <c r="B4" s="7" t="s">
        <v>304</v>
      </c>
      <c r="C4" s="7" t="s">
        <v>305</v>
      </c>
      <c r="D4" s="7" t="s">
        <v>306</v>
      </c>
      <c r="E4" s="7" t="s">
        <v>307</v>
      </c>
      <c r="F4" s="7" t="s">
        <v>308</v>
      </c>
    </row>
    <row r="5" customFormat="false" ht="24" hidden="false" customHeight="true" outlineLevel="0" collapsed="false">
      <c r="A5" s="8" t="s">
        <v>26</v>
      </c>
      <c r="B5" s="9" t="n">
        <v>1</v>
      </c>
      <c r="C5" s="10" t="s">
        <v>309</v>
      </c>
      <c r="D5" s="10" t="s">
        <v>310</v>
      </c>
      <c r="E5" s="10" t="s">
        <v>77</v>
      </c>
      <c r="F5" s="41"/>
    </row>
    <row r="6" customFormat="false" ht="24" hidden="false" customHeight="true" outlineLevel="0" collapsed="false">
      <c r="A6" s="8" t="s">
        <v>26</v>
      </c>
      <c r="B6" s="9" t="n">
        <v>2</v>
      </c>
      <c r="C6" s="10" t="s">
        <v>311</v>
      </c>
      <c r="D6" s="10" t="s">
        <v>312</v>
      </c>
      <c r="E6" s="10" t="s">
        <v>107</v>
      </c>
      <c r="F6" s="41"/>
    </row>
    <row r="7" customFormat="false" ht="24" hidden="false" customHeight="true" outlineLevel="0" collapsed="false">
      <c r="A7" s="8" t="s">
        <v>26</v>
      </c>
      <c r="B7" s="9" t="n">
        <v>3</v>
      </c>
      <c r="C7" s="10" t="s">
        <v>313</v>
      </c>
      <c r="D7" s="10" t="s">
        <v>314</v>
      </c>
      <c r="E7" s="10" t="s">
        <v>259</v>
      </c>
      <c r="F7" s="41"/>
    </row>
    <row r="8" customFormat="false" ht="24" hidden="false" customHeight="true" outlineLevel="0" collapsed="false">
      <c r="A8" s="8" t="s">
        <v>26</v>
      </c>
      <c r="B8" s="9" t="n">
        <v>4</v>
      </c>
      <c r="C8" s="10" t="s">
        <v>315</v>
      </c>
      <c r="D8" s="10" t="s">
        <v>316</v>
      </c>
      <c r="E8" s="10" t="s">
        <v>210</v>
      </c>
      <c r="F8" s="41"/>
    </row>
    <row r="9" customFormat="false" ht="24" hidden="false" customHeight="true" outlineLevel="0" collapsed="false">
      <c r="A9" s="8" t="s">
        <v>26</v>
      </c>
      <c r="B9" s="9" t="n">
        <v>5</v>
      </c>
      <c r="C9" s="10" t="s">
        <v>317</v>
      </c>
      <c r="D9" s="10" t="s">
        <v>318</v>
      </c>
      <c r="E9" s="10" t="s">
        <v>77</v>
      </c>
      <c r="F9" s="41"/>
    </row>
    <row r="10" customFormat="false" ht="24" hidden="false" customHeight="true" outlineLevel="0" collapsed="false">
      <c r="A10" s="12" t="s">
        <v>46</v>
      </c>
      <c r="B10" s="9" t="n">
        <v>1</v>
      </c>
      <c r="C10" s="10" t="s">
        <v>319</v>
      </c>
      <c r="D10" s="10" t="s">
        <v>320</v>
      </c>
      <c r="E10" s="10" t="s">
        <v>82</v>
      </c>
      <c r="F10" s="41"/>
    </row>
    <row r="11" customFormat="false" ht="24" hidden="false" customHeight="true" outlineLevel="0" collapsed="false">
      <c r="A11" s="12" t="s">
        <v>46</v>
      </c>
      <c r="B11" s="9" t="n">
        <v>2</v>
      </c>
      <c r="C11" s="10" t="s">
        <v>321</v>
      </c>
      <c r="D11" s="10" t="s">
        <v>93</v>
      </c>
      <c r="E11" s="10" t="s">
        <v>135</v>
      </c>
      <c r="F11" s="41"/>
    </row>
    <row r="12" customFormat="false" ht="24" hidden="false" customHeight="true" outlineLevel="0" collapsed="false">
      <c r="A12" s="12" t="s">
        <v>46</v>
      </c>
      <c r="B12" s="9" t="n">
        <v>3</v>
      </c>
      <c r="C12" s="10" t="s">
        <v>322</v>
      </c>
      <c r="D12" s="10" t="s">
        <v>222</v>
      </c>
      <c r="E12" s="10" t="s">
        <v>323</v>
      </c>
      <c r="F12" s="41"/>
    </row>
    <row r="13" customFormat="false" ht="24" hidden="false" customHeight="true" outlineLevel="0" collapsed="false">
      <c r="A13" s="12" t="s">
        <v>46</v>
      </c>
      <c r="B13" s="9" t="n">
        <v>4</v>
      </c>
      <c r="C13" s="10" t="s">
        <v>324</v>
      </c>
      <c r="D13" s="10" t="s">
        <v>325</v>
      </c>
      <c r="E13" s="10" t="s">
        <v>82</v>
      </c>
      <c r="F13" s="41"/>
    </row>
    <row r="14" customFormat="false" ht="24" hidden="false" customHeight="true" outlineLevel="0" collapsed="false">
      <c r="A14" s="12" t="s">
        <v>46</v>
      </c>
      <c r="B14" s="9" t="n">
        <v>5</v>
      </c>
      <c r="C14" s="10" t="s">
        <v>326</v>
      </c>
      <c r="D14" s="10" t="s">
        <v>327</v>
      </c>
      <c r="E14" s="10" t="s">
        <v>210</v>
      </c>
      <c r="F14" s="41"/>
    </row>
    <row r="15" customFormat="false" ht="24" hidden="false" customHeight="true" outlineLevel="0" collapsed="false">
      <c r="A15" s="12" t="s">
        <v>46</v>
      </c>
      <c r="B15" s="9" t="n">
        <v>6</v>
      </c>
      <c r="C15" s="10" t="s">
        <v>328</v>
      </c>
      <c r="D15" s="10" t="s">
        <v>234</v>
      </c>
      <c r="E15" s="10" t="s">
        <v>77</v>
      </c>
      <c r="F15" s="41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15" type="list">
      <formula1>"Ya,Belum,N/A"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2026-08-15T13:54:59Z</dcterms:created>
  <dc:creator>openpyxl</dc:creator>
  <dc:description/>
  <dc:language>en-US</dc:language>
  <cp:lastModifiedBy/>
  <dcterms:modified xsi:type="dcterms:W3CDTF">2026-08-15T13:54:59Z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