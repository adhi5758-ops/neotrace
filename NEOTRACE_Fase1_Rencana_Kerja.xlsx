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Rencana Kerja" sheetId="2" state="visible" r:id="rId4"/>
    <sheet name="Effort per Minggu" sheetId="3" state="visible" r:id="rId5"/>
    <sheet name="RACI" sheetId="4" state="visible" r:id="rId6"/>
    <sheet name="RAID" sheetId="5" state="visible" r:id="rId7"/>
    <sheet name="Exit Criteria" sheetId="6" state="visible" r:id="rId8"/>
  </sheets>
  <definedNames>
    <definedName function="false" hidden="true" localSheetId="1" name="_xlnm._FilterDatabase" vbProcedure="false">'Rencana Kerja'!$A$4:$I$43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<sst xmlns="http://schemas.openxmlformats.org/spreadsheetml/2006/main" count="567" uniqueCount="301">
  <si>
    <t xml:space="preserve">NEOTRACE Fase 1 — Rencana Kerja</t>
  </si>
  <si>
    <t xml:space="preserve">PT Neopangan Selaras Indonesia (Neofood) · Sauce Division, Tangerang · 6 minggu · disusun 15 Agu 2026</t>
  </si>
  <si>
    <t xml:space="preserve">Tujuan Fase 1</t>
  </si>
  <si>
    <t xml:space="preserve">HPP aktual per batch, telusur lot dua arah, rekonsiliasi bahan titipan klien</t>
  </si>
  <si>
    <t xml:space="preserve">Durasi</t>
  </si>
  <si>
    <t xml:space="preserve">6 minggu kerja (5 minggu build + 1 minggu hypercare)</t>
  </si>
  <si>
    <t xml:space="preserve">Mulai</t>
  </si>
  <si>
    <t xml:space="preserve">24 August 2026</t>
  </si>
  <si>
    <t xml:space="preserve">Go-live</t>
  </si>
  <si>
    <t xml:space="preserve">02 October 2026</t>
  </si>
  <si>
    <t xml:space="preserve">Lingkup</t>
  </si>
  <si>
    <t xml:space="preserve">v1 + QR scan + FEFO + QC hold + peringatan kedaluwarsa</t>
  </si>
  <si>
    <t xml:space="preserve">Di luar lingkup</t>
  </si>
  <si>
    <t xml:space="preserve">Put-away otomatis, cross-dock, zonasi alergen rak, pick list, packing, RFID, integrasi ERP, KPI tenaga kerja, forecasting, dual UoM</t>
  </si>
  <si>
    <t xml:space="preserve">Stack</t>
  </si>
  <si>
    <t xml:space="preserve">Supabase (Postgres + Auth + Realtime + Storage) · React PWA · thermal label printer</t>
  </si>
  <si>
    <t xml:space="preserve">Tim inti</t>
  </si>
  <si>
    <t xml:space="preserve">1 Tech Lead, 1 Full-stack Dev, 1 BA/QA, 1 Product Owner Neofood (part-time)</t>
  </si>
  <si>
    <t xml:space="preserve">Asumsi kritis</t>
  </si>
  <si>
    <t xml:space="preserve">Master item, formula, dan lokasi tersedia dari Neofood paling lambat akhir Minggu 1</t>
  </si>
  <si>
    <t xml:space="preserve">Milestone</t>
  </si>
  <si>
    <t xml:space="preserve">Minggu</t>
  </si>
  <si>
    <t xml:space="preserve">Tanggal</t>
  </si>
  <si>
    <t xml:space="preserve">Kriteria selesai (definition of done)</t>
  </si>
  <si>
    <t xml:space="preserve">PIC</t>
  </si>
  <si>
    <t xml:space="preserve">Status</t>
  </si>
  <si>
    <t xml:space="preserve">24 Aug – 28 Aug 2026</t>
  </si>
  <si>
    <t xml:space="preserve">Fondasi siap</t>
  </si>
  <si>
    <t xml:space="preserve">Skema v1+delta jalan di Supabase staging, master item/lokasi ter-import, RLS teruji per role</t>
  </si>
  <si>
    <t xml:space="preserve">Tech Lead</t>
  </si>
  <si>
    <t xml:space="preserve">Belum</t>
  </si>
  <si>
    <t xml:space="preserve">31 Aug – 04 Sep 2026</t>
  </si>
  <si>
    <t xml:space="preserve">Terima &amp; QR jalan</t>
  </si>
  <si>
    <t xml:space="preserve">GRN + cetak label QR + put-away manual bisa dilakukan operator di HP</t>
  </si>
  <si>
    <t xml:space="preserve">Dev</t>
  </si>
  <si>
    <t xml:space="preserve">07 Sep – 11 Sep 2026</t>
  </si>
  <si>
    <t xml:space="preserve">Produksi &amp; FEFO</t>
  </si>
  <si>
    <t xml:space="preserve">Buat batch, konsumsi lot via scan, blokir FEFO aktif, CCP tercatat</t>
  </si>
  <si>
    <t xml:space="preserve">14 Sep – 18 Sep 2026</t>
  </si>
  <si>
    <t xml:space="preserve">Tutup batch &amp; HPP</t>
  </si>
  <si>
    <t xml:space="preserve">Yield + HPP aktual muncul otomatis, konsol desktop menampilkan telusur dua arah</t>
  </si>
  <si>
    <t xml:space="preserve">21 Sep – 25 Sep 2026</t>
  </si>
  <si>
    <t xml:space="preserve">UAT lulus</t>
  </si>
  <si>
    <t xml:space="preserve">Seluruh skenario UAT dieksekusi, 0 defect Critical/High terbuka</t>
  </si>
  <si>
    <t xml:space="preserve">BA/QA</t>
  </si>
  <si>
    <t xml:space="preserve">28 Sep – 02 Oct 2026</t>
  </si>
  <si>
    <t xml:space="preserve">Go-live + hypercare</t>
  </si>
  <si>
    <t xml:space="preserve">Produksi berjalan penuh di sistem selama 5 hari kerja tanpa fallback ke kertas</t>
  </si>
  <si>
    <t xml:space="preserve">Semua</t>
  </si>
  <si>
    <t xml:space="preserve">Rencana Kerja per Minggu</t>
  </si>
  <si>
    <t xml:space="preserve">Effort dalam mandays. Ketergantungan mengacu pada ID tugas.</t>
  </si>
  <si>
    <t xml:space="preserve">ID</t>
  </si>
  <si>
    <t xml:space="preserve">Workstream</t>
  </si>
  <si>
    <t xml:space="preserve">Tugas</t>
  </si>
  <si>
    <t xml:space="preserve">Deliverable</t>
  </si>
  <si>
    <t xml:space="preserve">Effort (md)</t>
  </si>
  <si>
    <t xml:space="preserve">Depends</t>
  </si>
  <si>
    <t xml:space="preserve">T01</t>
  </si>
  <si>
    <t xml:space="preserve">Database</t>
  </si>
  <si>
    <t xml:space="preserve">Provision project Supabase, aktifkan pg_cron &amp; Storage</t>
  </si>
  <si>
    <t xml:space="preserve">Project staging + prod</t>
  </si>
  <si>
    <t xml:space="preserve">T02</t>
  </si>
  <si>
    <t xml:space="preserve">Jalankan neotrace_schema.sql (v1) di staging</t>
  </si>
  <si>
    <t xml:space="preserve">Skema v1 aktif</t>
  </si>
  <si>
    <t xml:space="preserve">T03</t>
  </si>
  <si>
    <t xml:space="preserve">Jalankan neotrace_phase1_delta.sql (QC, FEFO, alert)</t>
  </si>
  <si>
    <t xml:space="preserve">Skema Fase 1 lengkap</t>
  </si>
  <si>
    <t xml:space="preserve">T04</t>
  </si>
  <si>
    <t xml:space="preserve">Uji RLS per role: operator, gudang, QA, finance, admin</t>
  </si>
  <si>
    <t xml:space="preserve">Hasil uji RLS</t>
  </si>
  <si>
    <t xml:space="preserve">T05</t>
  </si>
  <si>
    <t xml:space="preserve">Data</t>
  </si>
  <si>
    <t xml:space="preserve">Kumpulkan master dari Neofood: item, supplier, klien, lokasi, formula</t>
  </si>
  <si>
    <t xml:space="preserve">File master mentah</t>
  </si>
  <si>
    <t xml:space="preserve">T06</t>
  </si>
  <si>
    <t xml:space="preserve">Bersihkan &amp; import master via CSV, tetapkan shelf life dan standard cost</t>
  </si>
  <si>
    <t xml:space="preserve">Master ter-import</t>
  </si>
  <si>
    <t xml:space="preserve">T07</t>
  </si>
  <si>
    <t xml:space="preserve">Definisikan CCP per SKU bersama tim QA Neofood</t>
  </si>
  <si>
    <t xml:space="preserve">ccp_definitions terisi</t>
  </si>
  <si>
    <t xml:space="preserve">T08</t>
  </si>
  <si>
    <t xml:space="preserve">Frontend</t>
  </si>
  <si>
    <t xml:space="preserve">Setup PWA: Vite + React + auth Supabase + shell navigasi</t>
  </si>
  <si>
    <t xml:space="preserve">Kerangka aplikasi</t>
  </si>
  <si>
    <t xml:space="preserve">T09</t>
  </si>
  <si>
    <t xml:space="preserve">Hardware</t>
  </si>
  <si>
    <t xml:space="preserve">Tentukan printer label &amp; ukuran stiker, uji cetak QR</t>
  </si>
  <si>
    <t xml:space="preserve">Spesifikasi label</t>
  </si>
  <si>
    <t xml:space="preserve">T10</t>
  </si>
  <si>
    <t xml:space="preserve">API</t>
  </si>
  <si>
    <t xml:space="preserve">Layer API: lots, handling units, penomoran dokumen</t>
  </si>
  <si>
    <t xml:space="preserve">Modul api/*.ts</t>
  </si>
  <si>
    <t xml:space="preserve">T11</t>
  </si>
  <si>
    <t xml:space="preserve">Layar Terima Bahan (GRN) termasuk pemilik bahan &amp; data halal</t>
  </si>
  <si>
    <t xml:space="preserve">Layar terima</t>
  </si>
  <si>
    <t xml:space="preserve">T12</t>
  </si>
  <si>
    <t xml:space="preserve">Generate &amp; cetak label QR per handling unit</t>
  </si>
  <si>
    <t xml:space="preserve">Cetak label</t>
  </si>
  <si>
    <t xml:space="preserve">T13</t>
  </si>
  <si>
    <t xml:space="preserve">Komponen Scanner (kamera HP) + resolve_qr</t>
  </si>
  <si>
    <t xml:space="preserve">Komponen scanner</t>
  </si>
  <si>
    <t xml:space="preserve">T14</t>
  </si>
  <si>
    <t xml:space="preserve">Antrean offline (IndexedDB) + sinkronisasi saat online</t>
  </si>
  <si>
    <t xml:space="preserve">Modul offline</t>
  </si>
  <si>
    <t xml:space="preserve">T15</t>
  </si>
  <si>
    <t xml:space="preserve">QA</t>
  </si>
  <si>
    <t xml:space="preserve">Susun skenario UAT untuk inbound &amp; QR</t>
  </si>
  <si>
    <t xml:space="preserve">Skrip UAT bagian 1</t>
  </si>
  <si>
    <t xml:space="preserve">T16</t>
  </si>
  <si>
    <t xml:space="preserve">Proses</t>
  </si>
  <si>
    <t xml:space="preserve">Workshop alur gudang bersama supervisor Neofood</t>
  </si>
  <si>
    <t xml:space="preserve">Alur disepakati</t>
  </si>
  <si>
    <t xml:space="preserve">T17</t>
  </si>
  <si>
    <t xml:space="preserve">Layar QC Hold: input sampel, hasil uji, release lot oleh QA</t>
  </si>
  <si>
    <t xml:space="preserve">Layar QC</t>
  </si>
  <si>
    <t xml:space="preserve">T18</t>
  </si>
  <si>
    <t xml:space="preserve">Layar Produksi: kartu batch + saran FEFO + konfirmasi lot via scan</t>
  </si>
  <si>
    <t xml:space="preserve">Layar produksi</t>
  </si>
  <si>
    <t xml:space="preserve">T19</t>
  </si>
  <si>
    <t xml:space="preserve">Input rekaman CCP + validasi batas + cap LULUS CCP</t>
  </si>
  <si>
    <t xml:space="preserve">Modul CCP</t>
  </si>
  <si>
    <t xml:space="preserve">T20</t>
  </si>
  <si>
    <t xml:space="preserve">Penegakan FEFO + alur override beralasan</t>
  </si>
  <si>
    <t xml:space="preserve">Aturan FEFO aktif</t>
  </si>
  <si>
    <t xml:space="preserve">T21</t>
  </si>
  <si>
    <t xml:space="preserve">Uji integrasi: terima → QC release → konsumsi batch</t>
  </si>
  <si>
    <t xml:space="preserve">Laporan uji</t>
  </si>
  <si>
    <t xml:space="preserve">T22</t>
  </si>
  <si>
    <t xml:space="preserve">Pelatihan operator gelombang 1 (terima &amp; scan)</t>
  </si>
  <si>
    <t xml:space="preserve">Materi + sesi latih</t>
  </si>
  <si>
    <t xml:space="preserve">T23</t>
  </si>
  <si>
    <t xml:space="preserve">Tutup batch: qty jadi, reject, hitung yield &amp; HPP aktual</t>
  </si>
  <si>
    <t xml:space="preserve">Layar tutup batch</t>
  </si>
  <si>
    <t xml:space="preserve">T24</t>
  </si>
  <si>
    <t xml:space="preserve">Konsol desktop: dashboard KPI, yield, variance HPP</t>
  </si>
  <si>
    <t xml:space="preserve">Dashboard</t>
  </si>
  <si>
    <t xml:space="preserve">T25</t>
  </si>
  <si>
    <t xml:space="preserve">Layar telusur dua arah (lot ke batch ke klien) + ekspor</t>
  </si>
  <si>
    <t xml:space="preserve">Layar telusur</t>
  </si>
  <si>
    <t xml:space="preserve">T26</t>
  </si>
  <si>
    <t xml:space="preserve">Rekonsiliasi bahan titipan klien + ekspor laporan ke klien</t>
  </si>
  <si>
    <t xml:space="preserve">Laporan titipan</t>
  </si>
  <si>
    <t xml:space="preserve">T27</t>
  </si>
  <si>
    <t xml:space="preserve">Backend</t>
  </si>
  <si>
    <t xml:space="preserve">Job harian peringatan kedaluwarsa via pg_cron + notifikasi</t>
  </si>
  <si>
    <t xml:space="preserve">Job terjadwal</t>
  </si>
  <si>
    <t xml:space="preserve">T28</t>
  </si>
  <si>
    <t xml:space="preserve">Layar Pengiriman (DO) dengan pencatatan lot per baris</t>
  </si>
  <si>
    <t xml:space="preserve">Layar DO</t>
  </si>
  <si>
    <t xml:space="preserve">T29</t>
  </si>
  <si>
    <t xml:space="preserve">Lengkapi skrip UAT bagian 2 (produksi, HPP, telusur)</t>
  </si>
  <si>
    <t xml:space="preserve">Skrip UAT lengkap</t>
  </si>
  <si>
    <t xml:space="preserve">T30</t>
  </si>
  <si>
    <t xml:space="preserve">Migrasi saldo stok awal per lot + cetak label untuk stok existing</t>
  </si>
  <si>
    <t xml:space="preserve">Stok awal</t>
  </si>
  <si>
    <t xml:space="preserve">T31</t>
  </si>
  <si>
    <t xml:space="preserve">Eksekusi UAT bersama pengguna Neofood</t>
  </si>
  <si>
    <t xml:space="preserve">Hasil UAT</t>
  </si>
  <si>
    <t xml:space="preserve">T32</t>
  </si>
  <si>
    <t xml:space="preserve">Perbaikan defect UAT (Critical &amp; High)</t>
  </si>
  <si>
    <t xml:space="preserve">Defect ditutup</t>
  </si>
  <si>
    <t xml:space="preserve">T33</t>
  </si>
  <si>
    <t xml:space="preserve">Pelatihan gelombang 2 (produksi, QA, admin) + buku manual singkat</t>
  </si>
  <si>
    <t xml:space="preserve">Manual pengguna</t>
  </si>
  <si>
    <t xml:space="preserve">T34</t>
  </si>
  <si>
    <t xml:space="preserve">Deploy ke produksi + backup &amp; restore drill</t>
  </si>
  <si>
    <t xml:space="preserve">Lingkungan produksi</t>
  </si>
  <si>
    <t xml:space="preserve">T35</t>
  </si>
  <si>
    <t xml:space="preserve">Sign-off go-live readiness bersama QA &amp; produksi Neofood</t>
  </si>
  <si>
    <t xml:space="preserve">Berita acara</t>
  </si>
  <si>
    <t xml:space="preserve">T36</t>
  </si>
  <si>
    <t xml:space="preserve">Cutover: bekukan pencatatan manual, aktifkan sistem</t>
  </si>
  <si>
    <t xml:space="preserve">Sistem live</t>
  </si>
  <si>
    <t xml:space="preserve">T37</t>
  </si>
  <si>
    <t xml:space="preserve">Hypercare</t>
  </si>
  <si>
    <t xml:space="preserve">Pendampingan di lantai produksi harian</t>
  </si>
  <si>
    <t xml:space="preserve">Log isu harian</t>
  </si>
  <si>
    <t xml:space="preserve">T38</t>
  </si>
  <si>
    <t xml:space="preserve">Tuning: aktifkan enforce_fefo penuh setelah data stabil</t>
  </si>
  <si>
    <t xml:space="preserve">FEFO aktif penuh</t>
  </si>
  <si>
    <t xml:space="preserve">T39</t>
  </si>
  <si>
    <t xml:space="preserve">Review pasca go-live + daftar backlog Fase 2</t>
  </si>
  <si>
    <t xml:space="preserve">Laporan penutup</t>
  </si>
  <si>
    <t xml:space="preserve">TOTAL EFFORT</t>
  </si>
  <si>
    <t xml:space="preserve">Beban Kerja per Minggu</t>
  </si>
  <si>
    <t xml:space="preserve">Dihitung dari sheet Rencana Kerja. Kapasitas 5 hari kerja per orang per minggu.</t>
  </si>
  <si>
    <t xml:space="preserve">Total (md)</t>
  </si>
  <si>
    <t xml:space="preserve">Total</t>
  </si>
  <si>
    <t xml:space="preserve">Catatan: tugas ber-PIC 'Semua' tidak masuk kolom individu tetapi terhitung di total sheet Rencana Kerja. Beban di atas 5 md per orang per minggu berarti perlu penambahan orang atau penggeseran tugas.</t>
  </si>
  <si>
    <t xml:space="preserve">Matriks RACI</t>
  </si>
  <si>
    <t xml:space="preserve">R Responsible · A Accountable · C Consulted · I Informed</t>
  </si>
  <si>
    <t xml:space="preserve">Aktivitas</t>
  </si>
  <si>
    <t xml:space="preserve">PO Neofood</t>
  </si>
  <si>
    <t xml:space="preserve">QA Neofood</t>
  </si>
  <si>
    <t xml:space="preserve">Supervisor Gudang</t>
  </si>
  <si>
    <t xml:space="preserve">Manajemen</t>
  </si>
  <si>
    <t xml:space="preserve">Desain skema &amp; keamanan data</t>
  </si>
  <si>
    <t xml:space="preserve">A/R</t>
  </si>
  <si>
    <t xml:space="preserve">C</t>
  </si>
  <si>
    <t xml:space="preserve">I</t>
  </si>
  <si>
    <t xml:space="preserve">Penyediaan &amp; pembersihan master data</t>
  </si>
  <si>
    <t xml:space="preserve">R</t>
  </si>
  <si>
    <t xml:space="preserve">A</t>
  </si>
  <si>
    <t xml:space="preserve">Definisi batas CCP &amp; spesifikasi QC</t>
  </si>
  <si>
    <t xml:space="preserve">Pengembangan aplikasi HP &amp; desktop</t>
  </si>
  <si>
    <t xml:space="preserve">Desain label &amp; pengadaan printer</t>
  </si>
  <si>
    <t xml:space="preserve">Penyusunan &amp; eksekusi UAT</t>
  </si>
  <si>
    <t xml:space="preserve">Pelatihan pengguna</t>
  </si>
  <si>
    <t xml:space="preserve">Migrasi stok awal &amp; pelabelan ulang</t>
  </si>
  <si>
    <t xml:space="preserve">Keputusan go / no-go</t>
  </si>
  <si>
    <t xml:space="preserve">Hypercare &amp; penanganan isu</t>
  </si>
  <si>
    <t xml:space="preserve">Persetujuan backlog Fase 2</t>
  </si>
  <si>
    <t xml:space="preserve">RAID Log — Fase 1</t>
  </si>
  <si>
    <t xml:space="preserve">R Risiko · A Asumsi · I Isu · D Dependensi. Ditinjau setiap Jumat.</t>
  </si>
  <si>
    <t xml:space="preserve">Tipe</t>
  </si>
  <si>
    <t xml:space="preserve">Uraian</t>
  </si>
  <si>
    <t xml:space="preserve">Dampak</t>
  </si>
  <si>
    <t xml:space="preserve">Prob.</t>
  </si>
  <si>
    <t xml:space="preserve">Mitigasi / tindakan</t>
  </si>
  <si>
    <t xml:space="preserve">Owner</t>
  </si>
  <si>
    <t xml:space="preserve">Due</t>
  </si>
  <si>
    <t xml:space="preserve">R01</t>
  </si>
  <si>
    <t xml:space="preserve">Risiko</t>
  </si>
  <si>
    <t xml:space="preserve">Master data expiry dan shelf life belum akurat sehingga FEFO memblokir produksi</t>
  </si>
  <si>
    <t xml:space="preserve">Tinggi</t>
  </si>
  <si>
    <t xml:space="preserve">Sedang</t>
  </si>
  <si>
    <t xml:space="preserve">Set items.enforce_fefo = false saat go-live, aktifkan penuh di Minggu 6 setelah data bersih</t>
  </si>
  <si>
    <t xml:space="preserve">M6</t>
  </si>
  <si>
    <t xml:space="preserve">R02</t>
  </si>
  <si>
    <t xml:space="preserve">Sinyal buruk di lantai produksi membuat scan gagal</t>
  </si>
  <si>
    <t xml:space="preserve">Antrean offline IndexedDB (T14); survei sinyal di Minggu 1; siapkan titik WiFi tambahan</t>
  </si>
  <si>
    <t xml:space="preserve">M2</t>
  </si>
  <si>
    <t xml:space="preserve">R03</t>
  </si>
  <si>
    <t xml:space="preserve">Operator kembali ke pencatatan kertas setelah go-live</t>
  </si>
  <si>
    <t xml:space="preserve">Pendampingan lantai harian selama hypercare; hentikan form kertas secara resmi saat cutover</t>
  </si>
  <si>
    <t xml:space="preserve">R04</t>
  </si>
  <si>
    <t xml:space="preserve">Label QR rusak / basah / terkelupas di area produksi basah</t>
  </si>
  <si>
    <t xml:space="preserve">Uji stiker synthetic tahan air di Minggu 1; sediakan alur reprint dengan persetujuan supervisor</t>
  </si>
  <si>
    <t xml:space="preserve">M1</t>
  </si>
  <si>
    <t xml:space="preserve">R05</t>
  </si>
  <si>
    <t xml:space="preserve">Reprint label ganda merusak akurasi stok</t>
  </si>
  <si>
    <t xml:space="preserve">Reprint wajib alasan + approval; audit lewat tabel label_prints</t>
  </si>
  <si>
    <t xml:space="preserve">A01</t>
  </si>
  <si>
    <t xml:space="preserve">Asumsi</t>
  </si>
  <si>
    <t xml:space="preserve">Neofood menyediakan master item, formula, dan lokasi sebelum akhir Minggu 1</t>
  </si>
  <si>
    <t xml:space="preserve">-</t>
  </si>
  <si>
    <t xml:space="preserve">Konfirmasi tertulis dari PO Neofood di kickoff</t>
  </si>
  <si>
    <t xml:space="preserve">A02</t>
  </si>
  <si>
    <t xml:space="preserve">Batas CCP diambil dari HACCP plan resmi Neofood, bukan asumsi konsultan</t>
  </si>
  <si>
    <t xml:space="preserve">Verifikasi tertulis ke QA Neofood sebelum dikunci di sistem</t>
  </si>
  <si>
    <t xml:space="preserve">A03</t>
  </si>
  <si>
    <t xml:space="preserve">Ketentuan halal, BPOM, dan pelabelan alergen dikonfirmasi ke tim regulatory Neofood</t>
  </si>
  <si>
    <t xml:space="preserve">Belum diverifikasi. Jangan dijadikan aturan blokir sebelum ada konfirmasi</t>
  </si>
  <si>
    <t xml:space="preserve">A04</t>
  </si>
  <si>
    <t xml:space="preserve">Satu QR per kemasan fisik (bukan per pouch) diterima operasional</t>
  </si>
  <si>
    <t xml:space="preserve">Konfirmasi di workshop T16; bila per pouch, jumlah label meledak dan estimasi berubah</t>
  </si>
  <si>
    <t xml:space="preserve">I01</t>
  </si>
  <si>
    <t xml:space="preserve">Isu</t>
  </si>
  <si>
    <t xml:space="preserve">Belum ada printer label thermal di Sauce Division</t>
  </si>
  <si>
    <t xml:space="preserve">Pengadaan harus selesai Minggu 2 atau T12 tertunda</t>
  </si>
  <si>
    <t xml:space="preserve">D01</t>
  </si>
  <si>
    <t xml:space="preserve">Dependensi</t>
  </si>
  <si>
    <t xml:space="preserve">Akses admin Supabase &amp; domain aplikasi dari IT Neofood</t>
  </si>
  <si>
    <t xml:space="preserve">Diminta saat kickoff</t>
  </si>
  <si>
    <t xml:space="preserve">D02</t>
  </si>
  <si>
    <t xml:space="preserve">Ketersediaan operator &amp; QA untuk pelatihan dan UAT di jam kerja</t>
  </si>
  <si>
    <t xml:space="preserve">Jadwalkan bersama supervisor produksi di Minggu 3</t>
  </si>
  <si>
    <t xml:space="preserve">M3</t>
  </si>
  <si>
    <t xml:space="preserve">D03</t>
  </si>
  <si>
    <t xml:space="preserve">Saldo stok awal per lot dari stock opname terakhir</t>
  </si>
  <si>
    <t xml:space="preserve">Opname khusus dijadwalkan sebelum cutover</t>
  </si>
  <si>
    <t xml:space="preserve">M5</t>
  </si>
  <si>
    <t xml:space="preserve">Kriteria Go-Live</t>
  </si>
  <si>
    <t xml:space="preserve">Semua baris wajib Ya sebelum cutover. Ditandatangani PO dan QA Neofood.</t>
  </si>
  <si>
    <t xml:space="preserve">No</t>
  </si>
  <si>
    <t xml:space="preserve">Kriteria</t>
  </si>
  <si>
    <t xml:space="preserve">Bukti</t>
  </si>
  <si>
    <t xml:space="preserve">Penanggung jawab</t>
  </si>
  <si>
    <t xml:space="preserve">Terpenuhi</t>
  </si>
  <si>
    <t xml:space="preserve">Seluruh skenario UAT dieksekusi</t>
  </si>
  <si>
    <t xml:space="preserve">Skrip UAT bertanda tangan</t>
  </si>
  <si>
    <t xml:space="preserve">0 defect Critical dan High terbuka</t>
  </si>
  <si>
    <t xml:space="preserve">Defect log</t>
  </si>
  <si>
    <t xml:space="preserve">Telusur mundur satu lot selesai di bawah 4 jam (target ISO 22000)</t>
  </si>
  <si>
    <t xml:space="preserve">Demo saat UAT</t>
  </si>
  <si>
    <t xml:space="preserve">HPP aktual satu batch cocok dengan hitungan manual finance</t>
  </si>
  <si>
    <t xml:space="preserve">Rekonsiliasi manual</t>
  </si>
  <si>
    <t xml:space="preserve">Finance Neofood</t>
  </si>
  <si>
    <t xml:space="preserve">Rekonsiliasi bahan titipan cocok dengan catatan klien</t>
  </si>
  <si>
    <t xml:space="preserve">Saldo stok awal per lot selesai dimuat dan berlabel</t>
  </si>
  <si>
    <t xml:space="preserve">Berita acara opname</t>
  </si>
  <si>
    <t xml:space="preserve">Batas CCP dikonfirmasi tertulis oleh QA Neofood</t>
  </si>
  <si>
    <t xml:space="preserve">Dokumen HACCP plan</t>
  </si>
  <si>
    <t xml:space="preserve">Ketentuan halal dan alergen dikonfirmasi tim regulatory</t>
  </si>
  <si>
    <t xml:space="preserve">Konfirmasi tertulis</t>
  </si>
  <si>
    <t xml:space="preserve">Seluruh operator shift 1 dan 2 sudah dilatih</t>
  </si>
  <si>
    <t xml:space="preserve">Daftar hadir pelatihan</t>
  </si>
  <si>
    <t xml:space="preserve">Backup dan restore drill berhasil</t>
  </si>
  <si>
    <t xml:space="preserve">Log drill</t>
  </si>
  <si>
    <t xml:space="preserve">Rencana fallback bila sistem down disepakati</t>
  </si>
  <si>
    <t xml:space="preserve">Prosedur fallback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</si>
</sst>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2A20"/>
      <name val="Arial"/>
      <family val="0"/>
      <charset val="1"/>
    </font>
    <font>
      <sz val="9"/>
      <color rgb="FF6A7F76"/>
      <name val="Arial"/>
      <family val="0"/>
      <charset val="1"/>
    </font>
    <font>
      <b val="true"/>
      <sz val="9"/>
      <color rgb="FF0E2A2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E2A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6A7F76"/>
      <name val="Arial"/>
      <family val="0"/>
      <charset val="1"/>
    </font>
    <font>
      <b val="true"/>
      <sz val="9"/>
      <color rgb="FFC13A22"/>
      <name val="Arial"/>
      <family val="0"/>
      <charset val="1"/>
    </font>
    <font>
      <sz val="9"/>
      <color rgb="FFD0870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EF3F0"/>
        <bgColor rgb="FFF1F6F3"/>
      </patternFill>
    </fill>
    <fill>
      <patternFill patternType="solid">
        <fgColor rgb="FF1B7A4B"/>
        <bgColor rgb="FF008080"/>
      </patternFill>
    </fill>
    <fill>
      <patternFill patternType="solid">
        <fgColor rgb="FFF7FAF8"/>
        <bgColor rgb="FFF1F6F3"/>
      </patternFill>
    </fill>
    <fill>
      <patternFill patternType="solid">
        <fgColor rgb="FFD9EAE0"/>
        <bgColor rgb="FFCFDAD4"/>
      </patternFill>
    </fill>
    <fill>
      <patternFill patternType="solid">
        <fgColor rgb="FFFDF3F1"/>
        <bgColor rgb="FFFFF9EC"/>
      </patternFill>
    </fill>
    <fill>
      <patternFill patternType="solid">
        <fgColor rgb="FFFFF9EC"/>
        <bgColor rgb="FFFDF3F1"/>
      </patternFill>
    </fill>
    <fill>
      <patternFill patternType="solid">
        <fgColor rgb="FFFDECEA"/>
        <bgColor rgb="FFFDF3F1"/>
      </patternFill>
    </fill>
    <fill>
      <patternFill patternType="solid">
        <fgColor rgb="FFF1F6F3"/>
        <bgColor rgb="FFEEF3F0"/>
      </patternFill>
    </fill>
    <fill>
      <patternFill patternType="solid">
        <fgColor rgb="FFFFFFCC"/>
        <bgColor rgb="FFFFF9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FDAD4"/>
      </left>
      <right style="thin">
        <color rgb="FFCFDAD4"/>
      </right>
      <top style="thin">
        <color rgb="FFCFDAD4"/>
      </top>
      <bottom style="thin">
        <color rgb="FFCFDAD4"/>
      </bottom>
      <diagonal/>
    </border>
    <border diagonalUp="false" diagonalDown="false">
      <left style="thin">
        <color rgb="FFCFDAD4"/>
      </left>
      <right/>
      <top style="thin">
        <color rgb="FFCFDAD4"/>
      </top>
      <bottom style="thin">
        <color rgb="FFCFDA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7A4B"/>
          <bgColor rgb="FF000000"/>
        </patternFill>
      </fill>
    </dxf>
    <dxf>
      <fill>
        <patternFill patternType="solid">
          <fgColor rgb="FFF7FA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B"/>
      <rgbColor rgb="FFFDF3F1"/>
      <rgbColor rgb="FF6A7F76"/>
      <rgbColor rgb="FF9999FF"/>
      <rgbColor rgb="FF993366"/>
      <rgbColor rgb="FFFFFFCC"/>
      <rgbColor rgb="FFEEF3F0"/>
      <rgbColor rgb="FF660066"/>
      <rgbColor rgb="FFFF8080"/>
      <rgbColor rgb="FF0066CC"/>
      <rgbColor rgb="FFCFDA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3"/>
      <rgbColor rgb="FFD9EAE0"/>
      <rgbColor rgb="FFFFF9EC"/>
      <rgbColor rgb="FFF7FAF8"/>
      <rgbColor rgb="FFFF99CC"/>
      <rgbColor rgb="FFCC99FF"/>
      <rgbColor rgb="FFFDECEA"/>
      <rgbColor rgb="FF3366FF"/>
      <rgbColor rgb="FF33CCCC"/>
      <rgbColor rgb="FF99CC00"/>
      <rgbColor rgb="FFFFCC00"/>
      <rgbColor rgb="FFD0870A"/>
      <rgbColor rgb="FFFF6600"/>
      <rgbColor rgb="FF666699"/>
      <rgbColor rgb="FF969696"/>
      <rgbColor rgb="FF003366"/>
      <rgbColor rgb="FF339966"/>
      <rgbColor rgb="FF0E2A20"/>
      <rgbColor rgb="FF333300"/>
      <rgbColor rgb="FFC13A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25.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</row>
    <row r="6" customFormat="false" ht="25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</row>
    <row r="7" customFormat="false" ht="25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</row>
    <row r="8" customFormat="false" ht="25.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</row>
    <row r="9" customFormat="false" ht="33.7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</row>
    <row r="10" customFormat="false" ht="25.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</row>
    <row r="11" customFormat="false" ht="25.5" hidden="false" customHeight="true" outlineLevel="0" collapsed="false">
      <c r="A11" s="3" t="s">
        <v>16</v>
      </c>
      <c r="B11" s="4" t="s">
        <v>17</v>
      </c>
      <c r="C11" s="4"/>
      <c r="D11" s="4"/>
      <c r="E11" s="4"/>
      <c r="F11" s="4"/>
    </row>
    <row r="12" customFormat="false" ht="25.5" hidden="false" customHeight="true" outlineLevel="0" collapsed="false">
      <c r="A12" s="3" t="s">
        <v>18</v>
      </c>
      <c r="B12" s="4" t="s">
        <v>19</v>
      </c>
      <c r="C12" s="4"/>
      <c r="D12" s="4"/>
      <c r="E12" s="4"/>
      <c r="F12" s="4"/>
    </row>
    <row r="14" customFormat="false" ht="15" hidden="false" customHeight="false" outlineLevel="0" collapsed="false">
      <c r="A14" s="5" t="s">
        <v>20</v>
      </c>
    </row>
    <row r="15" customFormat="false" ht="30" hidden="false" customHeight="true" outlineLevel="0" collapsed="false">
      <c r="A15" s="6" t="s">
        <v>21</v>
      </c>
      <c r="B15" s="6" t="s">
        <v>22</v>
      </c>
      <c r="C15" s="6" t="s">
        <v>20</v>
      </c>
      <c r="D15" s="6" t="s">
        <v>23</v>
      </c>
      <c r="E15" s="6" t="s">
        <v>24</v>
      </c>
      <c r="F15" s="6" t="s">
        <v>25</v>
      </c>
    </row>
    <row r="16" customFormat="false" ht="27.75" hidden="false" customHeight="true" outlineLevel="0" collapsed="false">
      <c r="A16" s="7" t="n">
        <v>1</v>
      </c>
      <c r="B16" s="7" t="s">
        <v>26</v>
      </c>
      <c r="C16" s="8" t="s">
        <v>27</v>
      </c>
      <c r="D16" s="7" t="s">
        <v>28</v>
      </c>
      <c r="E16" s="7" t="s">
        <v>29</v>
      </c>
      <c r="F16" s="7" t="s">
        <v>30</v>
      </c>
    </row>
    <row r="17" customFormat="false" ht="27.75" hidden="false" customHeight="true" outlineLevel="0" collapsed="false">
      <c r="A17" s="7" t="n">
        <v>2</v>
      </c>
      <c r="B17" s="7" t="s">
        <v>31</v>
      </c>
      <c r="C17" s="8" t="s">
        <v>32</v>
      </c>
      <c r="D17" s="7" t="s">
        <v>33</v>
      </c>
      <c r="E17" s="7" t="s">
        <v>34</v>
      </c>
      <c r="F17" s="7" t="s">
        <v>30</v>
      </c>
    </row>
    <row r="18" customFormat="false" ht="27.75" hidden="false" customHeight="true" outlineLevel="0" collapsed="false">
      <c r="A18" s="7" t="n">
        <v>3</v>
      </c>
      <c r="B18" s="7" t="s">
        <v>35</v>
      </c>
      <c r="C18" s="8" t="s">
        <v>36</v>
      </c>
      <c r="D18" s="7" t="s">
        <v>37</v>
      </c>
      <c r="E18" s="7" t="s">
        <v>34</v>
      </c>
      <c r="F18" s="7" t="s">
        <v>30</v>
      </c>
    </row>
    <row r="19" customFormat="false" ht="27.75" hidden="false" customHeight="true" outlineLevel="0" collapsed="false">
      <c r="A19" s="7" t="n">
        <v>4</v>
      </c>
      <c r="B19" s="7" t="s">
        <v>38</v>
      </c>
      <c r="C19" s="8" t="s">
        <v>39</v>
      </c>
      <c r="D19" s="7" t="s">
        <v>40</v>
      </c>
      <c r="E19" s="7" t="s">
        <v>29</v>
      </c>
      <c r="F19" s="7" t="s">
        <v>30</v>
      </c>
    </row>
    <row r="20" customFormat="false" ht="27.75" hidden="false" customHeight="true" outlineLevel="0" collapsed="false">
      <c r="A20" s="7" t="n">
        <v>5</v>
      </c>
      <c r="B20" s="7" t="s">
        <v>41</v>
      </c>
      <c r="C20" s="8" t="s">
        <v>42</v>
      </c>
      <c r="D20" s="7" t="s">
        <v>43</v>
      </c>
      <c r="E20" s="7" t="s">
        <v>44</v>
      </c>
      <c r="F20" s="7" t="s">
        <v>30</v>
      </c>
    </row>
    <row r="21" customFormat="false" ht="27.75" hidden="false" customHeight="true" outlineLevel="0" collapsed="false">
      <c r="A21" s="7" t="n">
        <v>6</v>
      </c>
      <c r="B21" s="7" t="s">
        <v>45</v>
      </c>
      <c r="C21" s="8" t="s">
        <v>46</v>
      </c>
      <c r="D21" s="7" t="s">
        <v>47</v>
      </c>
      <c r="E21" s="7" t="s">
        <v>48</v>
      </c>
      <c r="F21" s="7" t="s">
        <v>30</v>
      </c>
    </row>
  </sheetData>
  <mergeCells count="11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9" min="7" style="0" width="11"/>
  </cols>
  <sheetData>
    <row r="1" customFormat="false" ht="19.5" hidden="false" customHeight="true" outlineLevel="0" collapsed="false">
      <c r="A1" s="1" t="s">
        <v>49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6" t="s">
        <v>51</v>
      </c>
      <c r="B4" s="6" t="s">
        <v>21</v>
      </c>
      <c r="C4" s="6" t="s">
        <v>52</v>
      </c>
      <c r="D4" s="6" t="s">
        <v>53</v>
      </c>
      <c r="E4" s="6" t="s">
        <v>54</v>
      </c>
      <c r="F4" s="6" t="s">
        <v>24</v>
      </c>
      <c r="G4" s="6" t="s">
        <v>55</v>
      </c>
      <c r="H4" s="6" t="s">
        <v>56</v>
      </c>
      <c r="I4" s="6" t="s">
        <v>25</v>
      </c>
    </row>
    <row r="5" customFormat="false" ht="24" hidden="false" customHeight="true" outlineLevel="0" collapsed="false">
      <c r="A5" s="9" t="s">
        <v>57</v>
      </c>
      <c r="B5" s="9" t="n">
        <v>1</v>
      </c>
      <c r="C5" s="10" t="s">
        <v>58</v>
      </c>
      <c r="D5" s="10" t="s">
        <v>59</v>
      </c>
      <c r="E5" s="10" t="s">
        <v>60</v>
      </c>
      <c r="F5" s="10" t="s">
        <v>29</v>
      </c>
      <c r="G5" s="11" t="n">
        <v>0.5</v>
      </c>
      <c r="H5" s="9"/>
      <c r="I5" s="9"/>
    </row>
    <row r="6" customFormat="false" ht="24" hidden="false" customHeight="true" outlineLevel="0" collapsed="false">
      <c r="A6" s="9" t="s">
        <v>61</v>
      </c>
      <c r="B6" s="9" t="n">
        <v>1</v>
      </c>
      <c r="C6" s="10" t="s">
        <v>58</v>
      </c>
      <c r="D6" s="10" t="s">
        <v>62</v>
      </c>
      <c r="E6" s="10" t="s">
        <v>63</v>
      </c>
      <c r="F6" s="10" t="s">
        <v>29</v>
      </c>
      <c r="G6" s="11" t="n">
        <v>0.5</v>
      </c>
      <c r="H6" s="9" t="s">
        <v>57</v>
      </c>
      <c r="I6" s="9"/>
    </row>
    <row r="7" customFormat="false" ht="24" hidden="false" customHeight="true" outlineLevel="0" collapsed="false">
      <c r="A7" s="9" t="s">
        <v>64</v>
      </c>
      <c r="B7" s="9" t="n">
        <v>1</v>
      </c>
      <c r="C7" s="10" t="s">
        <v>58</v>
      </c>
      <c r="D7" s="10" t="s">
        <v>65</v>
      </c>
      <c r="E7" s="10" t="s">
        <v>66</v>
      </c>
      <c r="F7" s="10" t="s">
        <v>29</v>
      </c>
      <c r="G7" s="11" t="n">
        <v>0.5</v>
      </c>
      <c r="H7" s="9" t="s">
        <v>61</v>
      </c>
      <c r="I7" s="9"/>
    </row>
    <row r="8" customFormat="false" ht="24" hidden="false" customHeight="true" outlineLevel="0" collapsed="false">
      <c r="A8" s="9" t="s">
        <v>67</v>
      </c>
      <c r="B8" s="9" t="n">
        <v>1</v>
      </c>
      <c r="C8" s="10" t="s">
        <v>58</v>
      </c>
      <c r="D8" s="10" t="s">
        <v>68</v>
      </c>
      <c r="E8" s="10" t="s">
        <v>69</v>
      </c>
      <c r="F8" s="10" t="s">
        <v>29</v>
      </c>
      <c r="G8" s="11" t="n">
        <v>1</v>
      </c>
      <c r="H8" s="9" t="s">
        <v>64</v>
      </c>
      <c r="I8" s="9"/>
    </row>
    <row r="9" customFormat="false" ht="24" hidden="false" customHeight="true" outlineLevel="0" collapsed="false">
      <c r="A9" s="9" t="s">
        <v>70</v>
      </c>
      <c r="B9" s="9" t="n">
        <v>1</v>
      </c>
      <c r="C9" s="10" t="s">
        <v>71</v>
      </c>
      <c r="D9" s="10" t="s">
        <v>72</v>
      </c>
      <c r="E9" s="10" t="s">
        <v>73</v>
      </c>
      <c r="F9" s="10" t="s">
        <v>44</v>
      </c>
      <c r="G9" s="11" t="n">
        <v>2</v>
      </c>
      <c r="H9" s="9"/>
      <c r="I9" s="9"/>
    </row>
    <row r="10" customFormat="false" ht="24" hidden="false" customHeight="true" outlineLevel="0" collapsed="false">
      <c r="A10" s="9" t="s">
        <v>74</v>
      </c>
      <c r="B10" s="9" t="n">
        <v>1</v>
      </c>
      <c r="C10" s="10" t="s">
        <v>71</v>
      </c>
      <c r="D10" s="10" t="s">
        <v>75</v>
      </c>
      <c r="E10" s="10" t="s">
        <v>76</v>
      </c>
      <c r="F10" s="10" t="s">
        <v>44</v>
      </c>
      <c r="G10" s="11" t="n">
        <v>2</v>
      </c>
      <c r="H10" s="9" t="s">
        <v>70</v>
      </c>
      <c r="I10" s="9"/>
    </row>
    <row r="11" customFormat="false" ht="24" hidden="false" customHeight="true" outlineLevel="0" collapsed="false">
      <c r="A11" s="9" t="s">
        <v>77</v>
      </c>
      <c r="B11" s="9" t="n">
        <v>1</v>
      </c>
      <c r="C11" s="10" t="s">
        <v>71</v>
      </c>
      <c r="D11" s="10" t="s">
        <v>78</v>
      </c>
      <c r="E11" s="10" t="s">
        <v>79</v>
      </c>
      <c r="F11" s="10" t="s">
        <v>44</v>
      </c>
      <c r="G11" s="11" t="n">
        <v>1</v>
      </c>
      <c r="H11" s="9" t="s">
        <v>70</v>
      </c>
      <c r="I11" s="9"/>
    </row>
    <row r="12" customFormat="false" ht="24" hidden="false" customHeight="true" outlineLevel="0" collapsed="false">
      <c r="A12" s="9" t="s">
        <v>80</v>
      </c>
      <c r="B12" s="9" t="n">
        <v>1</v>
      </c>
      <c r="C12" s="10" t="s">
        <v>81</v>
      </c>
      <c r="D12" s="10" t="s">
        <v>82</v>
      </c>
      <c r="E12" s="10" t="s">
        <v>83</v>
      </c>
      <c r="F12" s="10" t="s">
        <v>34</v>
      </c>
      <c r="G12" s="11" t="n">
        <v>1.5</v>
      </c>
      <c r="H12" s="9" t="s">
        <v>57</v>
      </c>
      <c r="I12" s="9"/>
    </row>
    <row r="13" customFormat="false" ht="24" hidden="false" customHeight="true" outlineLevel="0" collapsed="false">
      <c r="A13" s="9" t="s">
        <v>84</v>
      </c>
      <c r="B13" s="9" t="n">
        <v>1</v>
      </c>
      <c r="C13" s="10" t="s">
        <v>85</v>
      </c>
      <c r="D13" s="10" t="s">
        <v>86</v>
      </c>
      <c r="E13" s="10" t="s">
        <v>87</v>
      </c>
      <c r="F13" s="10" t="s">
        <v>34</v>
      </c>
      <c r="G13" s="11" t="n">
        <v>1</v>
      </c>
      <c r="H13" s="9"/>
      <c r="I13" s="9"/>
    </row>
    <row r="14" customFormat="false" ht="24" hidden="false" customHeight="true" outlineLevel="0" collapsed="false">
      <c r="A14" s="12" t="s">
        <v>88</v>
      </c>
      <c r="B14" s="12" t="n">
        <v>2</v>
      </c>
      <c r="C14" s="13" t="s">
        <v>89</v>
      </c>
      <c r="D14" s="13" t="s">
        <v>90</v>
      </c>
      <c r="E14" s="13" t="s">
        <v>91</v>
      </c>
      <c r="F14" s="13" t="s">
        <v>34</v>
      </c>
      <c r="G14" s="14" t="n">
        <v>1.5</v>
      </c>
      <c r="H14" s="12" t="s">
        <v>64</v>
      </c>
      <c r="I14" s="12"/>
    </row>
    <row r="15" customFormat="false" ht="24" hidden="false" customHeight="true" outlineLevel="0" collapsed="false">
      <c r="A15" s="12" t="s">
        <v>92</v>
      </c>
      <c r="B15" s="12" t="n">
        <v>2</v>
      </c>
      <c r="C15" s="13" t="s">
        <v>81</v>
      </c>
      <c r="D15" s="13" t="s">
        <v>93</v>
      </c>
      <c r="E15" s="13" t="s">
        <v>94</v>
      </c>
      <c r="F15" s="13" t="s">
        <v>34</v>
      </c>
      <c r="G15" s="14" t="n">
        <v>2</v>
      </c>
      <c r="H15" s="12" t="s">
        <v>88</v>
      </c>
      <c r="I15" s="12"/>
    </row>
    <row r="16" customFormat="false" ht="24" hidden="false" customHeight="true" outlineLevel="0" collapsed="false">
      <c r="A16" s="12" t="s">
        <v>95</v>
      </c>
      <c r="B16" s="12" t="n">
        <v>2</v>
      </c>
      <c r="C16" s="13" t="s">
        <v>81</v>
      </c>
      <c r="D16" s="13" t="s">
        <v>96</v>
      </c>
      <c r="E16" s="13" t="s">
        <v>97</v>
      </c>
      <c r="F16" s="13" t="s">
        <v>34</v>
      </c>
      <c r="G16" s="14" t="n">
        <v>2</v>
      </c>
      <c r="H16" s="12" t="s">
        <v>84</v>
      </c>
      <c r="I16" s="12"/>
    </row>
    <row r="17" customFormat="false" ht="24" hidden="false" customHeight="true" outlineLevel="0" collapsed="false">
      <c r="A17" s="12" t="s">
        <v>98</v>
      </c>
      <c r="B17" s="12" t="n">
        <v>2</v>
      </c>
      <c r="C17" s="13" t="s">
        <v>81</v>
      </c>
      <c r="D17" s="13" t="s">
        <v>99</v>
      </c>
      <c r="E17" s="13" t="s">
        <v>100</v>
      </c>
      <c r="F17" s="13" t="s">
        <v>34</v>
      </c>
      <c r="G17" s="14" t="n">
        <v>2</v>
      </c>
      <c r="H17" s="12" t="s">
        <v>88</v>
      </c>
      <c r="I17" s="12"/>
    </row>
    <row r="18" customFormat="false" ht="24" hidden="false" customHeight="true" outlineLevel="0" collapsed="false">
      <c r="A18" s="12" t="s">
        <v>101</v>
      </c>
      <c r="B18" s="12" t="n">
        <v>2</v>
      </c>
      <c r="C18" s="13" t="s">
        <v>81</v>
      </c>
      <c r="D18" s="13" t="s">
        <v>102</v>
      </c>
      <c r="E18" s="13" t="s">
        <v>103</v>
      </c>
      <c r="F18" s="13" t="s">
        <v>34</v>
      </c>
      <c r="G18" s="14" t="n">
        <v>2</v>
      </c>
      <c r="H18" s="12" t="s">
        <v>98</v>
      </c>
      <c r="I18" s="12"/>
    </row>
    <row r="19" customFormat="false" ht="24" hidden="false" customHeight="true" outlineLevel="0" collapsed="false">
      <c r="A19" s="12" t="s">
        <v>104</v>
      </c>
      <c r="B19" s="12" t="n">
        <v>2</v>
      </c>
      <c r="C19" s="13" t="s">
        <v>105</v>
      </c>
      <c r="D19" s="13" t="s">
        <v>106</v>
      </c>
      <c r="E19" s="13" t="s">
        <v>107</v>
      </c>
      <c r="F19" s="13" t="s">
        <v>44</v>
      </c>
      <c r="G19" s="14" t="n">
        <v>1.5</v>
      </c>
      <c r="H19" s="12" t="s">
        <v>92</v>
      </c>
      <c r="I19" s="12"/>
    </row>
    <row r="20" customFormat="false" ht="24" hidden="false" customHeight="true" outlineLevel="0" collapsed="false">
      <c r="A20" s="12" t="s">
        <v>108</v>
      </c>
      <c r="B20" s="12" t="n">
        <v>2</v>
      </c>
      <c r="C20" s="13" t="s">
        <v>109</v>
      </c>
      <c r="D20" s="13" t="s">
        <v>110</v>
      </c>
      <c r="E20" s="13" t="s">
        <v>111</v>
      </c>
      <c r="F20" s="13" t="s">
        <v>44</v>
      </c>
      <c r="G20" s="14" t="n">
        <v>1</v>
      </c>
      <c r="H20" s="12"/>
      <c r="I20" s="12"/>
    </row>
    <row r="21" customFormat="false" ht="24" hidden="false" customHeight="true" outlineLevel="0" collapsed="false">
      <c r="A21" s="9" t="s">
        <v>112</v>
      </c>
      <c r="B21" s="9" t="n">
        <v>3</v>
      </c>
      <c r="C21" s="10" t="s">
        <v>81</v>
      </c>
      <c r="D21" s="10" t="s">
        <v>113</v>
      </c>
      <c r="E21" s="10" t="s">
        <v>114</v>
      </c>
      <c r="F21" s="10" t="s">
        <v>34</v>
      </c>
      <c r="G21" s="11" t="n">
        <v>2</v>
      </c>
      <c r="H21" s="9" t="s">
        <v>88</v>
      </c>
      <c r="I21" s="9"/>
    </row>
    <row r="22" customFormat="false" ht="24" hidden="false" customHeight="true" outlineLevel="0" collapsed="false">
      <c r="A22" s="9" t="s">
        <v>115</v>
      </c>
      <c r="B22" s="9" t="n">
        <v>3</v>
      </c>
      <c r="C22" s="10" t="s">
        <v>81</v>
      </c>
      <c r="D22" s="10" t="s">
        <v>116</v>
      </c>
      <c r="E22" s="10" t="s">
        <v>117</v>
      </c>
      <c r="F22" s="10" t="s">
        <v>34</v>
      </c>
      <c r="G22" s="11" t="n">
        <v>2.5</v>
      </c>
      <c r="H22" s="9" t="s">
        <v>98</v>
      </c>
      <c r="I22" s="9"/>
    </row>
    <row r="23" customFormat="false" ht="24" hidden="false" customHeight="true" outlineLevel="0" collapsed="false">
      <c r="A23" s="9" t="s">
        <v>118</v>
      </c>
      <c r="B23" s="9" t="n">
        <v>3</v>
      </c>
      <c r="C23" s="10" t="s">
        <v>81</v>
      </c>
      <c r="D23" s="10" t="s">
        <v>119</v>
      </c>
      <c r="E23" s="10" t="s">
        <v>120</v>
      </c>
      <c r="F23" s="10" t="s">
        <v>34</v>
      </c>
      <c r="G23" s="11" t="n">
        <v>1.5</v>
      </c>
      <c r="H23" s="9" t="s">
        <v>77</v>
      </c>
      <c r="I23" s="9"/>
    </row>
    <row r="24" customFormat="false" ht="24" hidden="false" customHeight="true" outlineLevel="0" collapsed="false">
      <c r="A24" s="9" t="s">
        <v>121</v>
      </c>
      <c r="B24" s="9" t="n">
        <v>3</v>
      </c>
      <c r="C24" s="10" t="s">
        <v>89</v>
      </c>
      <c r="D24" s="10" t="s">
        <v>122</v>
      </c>
      <c r="E24" s="10" t="s">
        <v>123</v>
      </c>
      <c r="F24" s="10" t="s">
        <v>34</v>
      </c>
      <c r="G24" s="11" t="n">
        <v>1</v>
      </c>
      <c r="H24" s="9" t="s">
        <v>115</v>
      </c>
      <c r="I24" s="9"/>
    </row>
    <row r="25" customFormat="false" ht="24" hidden="false" customHeight="true" outlineLevel="0" collapsed="false">
      <c r="A25" s="9" t="s">
        <v>124</v>
      </c>
      <c r="B25" s="9" t="n">
        <v>3</v>
      </c>
      <c r="C25" s="10" t="s">
        <v>105</v>
      </c>
      <c r="D25" s="10" t="s">
        <v>125</v>
      </c>
      <c r="E25" s="10" t="s">
        <v>126</v>
      </c>
      <c r="F25" s="10" t="s">
        <v>44</v>
      </c>
      <c r="G25" s="11" t="n">
        <v>1.5</v>
      </c>
      <c r="H25" s="9" t="s">
        <v>115</v>
      </c>
      <c r="I25" s="9"/>
    </row>
    <row r="26" customFormat="false" ht="24" hidden="false" customHeight="true" outlineLevel="0" collapsed="false">
      <c r="A26" s="9" t="s">
        <v>127</v>
      </c>
      <c r="B26" s="9" t="n">
        <v>3</v>
      </c>
      <c r="C26" s="10" t="s">
        <v>109</v>
      </c>
      <c r="D26" s="10" t="s">
        <v>128</v>
      </c>
      <c r="E26" s="10" t="s">
        <v>129</v>
      </c>
      <c r="F26" s="10" t="s">
        <v>44</v>
      </c>
      <c r="G26" s="11" t="n">
        <v>1</v>
      </c>
      <c r="H26" s="9" t="s">
        <v>108</v>
      </c>
      <c r="I26" s="9"/>
    </row>
    <row r="27" customFormat="false" ht="24" hidden="false" customHeight="true" outlineLevel="0" collapsed="false">
      <c r="A27" s="12" t="s">
        <v>130</v>
      </c>
      <c r="B27" s="12" t="n">
        <v>4</v>
      </c>
      <c r="C27" s="13" t="s">
        <v>81</v>
      </c>
      <c r="D27" s="13" t="s">
        <v>131</v>
      </c>
      <c r="E27" s="13" t="s">
        <v>132</v>
      </c>
      <c r="F27" s="13" t="s">
        <v>34</v>
      </c>
      <c r="G27" s="14" t="n">
        <v>2</v>
      </c>
      <c r="H27" s="12" t="s">
        <v>115</v>
      </c>
      <c r="I27" s="12"/>
    </row>
    <row r="28" customFormat="false" ht="24" hidden="false" customHeight="true" outlineLevel="0" collapsed="false">
      <c r="A28" s="12" t="s">
        <v>133</v>
      </c>
      <c r="B28" s="12" t="n">
        <v>4</v>
      </c>
      <c r="C28" s="13" t="s">
        <v>81</v>
      </c>
      <c r="D28" s="13" t="s">
        <v>134</v>
      </c>
      <c r="E28" s="13" t="s">
        <v>135</v>
      </c>
      <c r="F28" s="13" t="s">
        <v>34</v>
      </c>
      <c r="G28" s="14" t="n">
        <v>2.5</v>
      </c>
      <c r="H28" s="12" t="s">
        <v>130</v>
      </c>
      <c r="I28" s="12"/>
    </row>
    <row r="29" customFormat="false" ht="24" hidden="false" customHeight="true" outlineLevel="0" collapsed="false">
      <c r="A29" s="12" t="s">
        <v>136</v>
      </c>
      <c r="B29" s="12" t="n">
        <v>4</v>
      </c>
      <c r="C29" s="13" t="s">
        <v>81</v>
      </c>
      <c r="D29" s="13" t="s">
        <v>137</v>
      </c>
      <c r="E29" s="13" t="s">
        <v>138</v>
      </c>
      <c r="F29" s="13" t="s">
        <v>34</v>
      </c>
      <c r="G29" s="14" t="n">
        <v>2</v>
      </c>
      <c r="H29" s="12" t="s">
        <v>133</v>
      </c>
      <c r="I29" s="12"/>
    </row>
    <row r="30" customFormat="false" ht="24" hidden="false" customHeight="true" outlineLevel="0" collapsed="false">
      <c r="A30" s="12" t="s">
        <v>139</v>
      </c>
      <c r="B30" s="12" t="n">
        <v>4</v>
      </c>
      <c r="C30" s="13" t="s">
        <v>81</v>
      </c>
      <c r="D30" s="13" t="s">
        <v>140</v>
      </c>
      <c r="E30" s="13" t="s">
        <v>141</v>
      </c>
      <c r="F30" s="13" t="s">
        <v>34</v>
      </c>
      <c r="G30" s="14" t="n">
        <v>1.5</v>
      </c>
      <c r="H30" s="12" t="s">
        <v>133</v>
      </c>
      <c r="I30" s="12"/>
    </row>
    <row r="31" customFormat="false" ht="24" hidden="false" customHeight="true" outlineLevel="0" collapsed="false">
      <c r="A31" s="12" t="s">
        <v>142</v>
      </c>
      <c r="B31" s="12" t="n">
        <v>4</v>
      </c>
      <c r="C31" s="13" t="s">
        <v>143</v>
      </c>
      <c r="D31" s="13" t="s">
        <v>144</v>
      </c>
      <c r="E31" s="13" t="s">
        <v>145</v>
      </c>
      <c r="F31" s="13" t="s">
        <v>29</v>
      </c>
      <c r="G31" s="14" t="n">
        <v>1</v>
      </c>
      <c r="H31" s="12" t="s">
        <v>64</v>
      </c>
      <c r="I31" s="12"/>
    </row>
    <row r="32" customFormat="false" ht="24" hidden="false" customHeight="true" outlineLevel="0" collapsed="false">
      <c r="A32" s="12" t="s">
        <v>146</v>
      </c>
      <c r="B32" s="12" t="n">
        <v>4</v>
      </c>
      <c r="C32" s="13" t="s">
        <v>81</v>
      </c>
      <c r="D32" s="13" t="s">
        <v>147</v>
      </c>
      <c r="E32" s="13" t="s">
        <v>148</v>
      </c>
      <c r="F32" s="13" t="s">
        <v>34</v>
      </c>
      <c r="G32" s="14" t="n">
        <v>1.5</v>
      </c>
      <c r="H32" s="12" t="s">
        <v>88</v>
      </c>
      <c r="I32" s="12"/>
    </row>
    <row r="33" customFormat="false" ht="24" hidden="false" customHeight="true" outlineLevel="0" collapsed="false">
      <c r="A33" s="12" t="s">
        <v>149</v>
      </c>
      <c r="B33" s="12" t="n">
        <v>4</v>
      </c>
      <c r="C33" s="13" t="s">
        <v>105</v>
      </c>
      <c r="D33" s="13" t="s">
        <v>150</v>
      </c>
      <c r="E33" s="13" t="s">
        <v>151</v>
      </c>
      <c r="F33" s="13" t="s">
        <v>44</v>
      </c>
      <c r="G33" s="14" t="n">
        <v>1.5</v>
      </c>
      <c r="H33" s="12" t="s">
        <v>136</v>
      </c>
      <c r="I33" s="12"/>
    </row>
    <row r="34" customFormat="false" ht="24" hidden="false" customHeight="true" outlineLevel="0" collapsed="false">
      <c r="A34" s="9" t="s">
        <v>152</v>
      </c>
      <c r="B34" s="9" t="n">
        <v>5</v>
      </c>
      <c r="C34" s="10" t="s">
        <v>71</v>
      </c>
      <c r="D34" s="10" t="s">
        <v>153</v>
      </c>
      <c r="E34" s="10" t="s">
        <v>154</v>
      </c>
      <c r="F34" s="10" t="s">
        <v>44</v>
      </c>
      <c r="G34" s="11" t="n">
        <v>2</v>
      </c>
      <c r="H34" s="9" t="s">
        <v>95</v>
      </c>
      <c r="I34" s="9"/>
    </row>
    <row r="35" customFormat="false" ht="24" hidden="false" customHeight="true" outlineLevel="0" collapsed="false">
      <c r="A35" s="9" t="s">
        <v>155</v>
      </c>
      <c r="B35" s="9" t="n">
        <v>5</v>
      </c>
      <c r="C35" s="10" t="s">
        <v>105</v>
      </c>
      <c r="D35" s="10" t="s">
        <v>156</v>
      </c>
      <c r="E35" s="10" t="s">
        <v>157</v>
      </c>
      <c r="F35" s="10" t="s">
        <v>44</v>
      </c>
      <c r="G35" s="11" t="n">
        <v>3</v>
      </c>
      <c r="H35" s="9" t="s">
        <v>149</v>
      </c>
      <c r="I35" s="9"/>
    </row>
    <row r="36" customFormat="false" ht="24" hidden="false" customHeight="true" outlineLevel="0" collapsed="false">
      <c r="A36" s="9" t="s">
        <v>158</v>
      </c>
      <c r="B36" s="9" t="n">
        <v>5</v>
      </c>
      <c r="C36" s="10" t="s">
        <v>34</v>
      </c>
      <c r="D36" s="10" t="s">
        <v>159</v>
      </c>
      <c r="E36" s="10" t="s">
        <v>160</v>
      </c>
      <c r="F36" s="10" t="s">
        <v>34</v>
      </c>
      <c r="G36" s="11" t="n">
        <v>3</v>
      </c>
      <c r="H36" s="9" t="s">
        <v>155</v>
      </c>
      <c r="I36" s="9"/>
    </row>
    <row r="37" customFormat="false" ht="24" hidden="false" customHeight="true" outlineLevel="0" collapsed="false">
      <c r="A37" s="9" t="s">
        <v>161</v>
      </c>
      <c r="B37" s="9" t="n">
        <v>5</v>
      </c>
      <c r="C37" s="10" t="s">
        <v>109</v>
      </c>
      <c r="D37" s="10" t="s">
        <v>162</v>
      </c>
      <c r="E37" s="10" t="s">
        <v>163</v>
      </c>
      <c r="F37" s="10" t="s">
        <v>44</v>
      </c>
      <c r="G37" s="11" t="n">
        <v>1.5</v>
      </c>
      <c r="H37" s="9" t="s">
        <v>155</v>
      </c>
      <c r="I37" s="9"/>
    </row>
    <row r="38" customFormat="false" ht="24" hidden="false" customHeight="true" outlineLevel="0" collapsed="false">
      <c r="A38" s="9" t="s">
        <v>164</v>
      </c>
      <c r="B38" s="9" t="n">
        <v>5</v>
      </c>
      <c r="C38" s="10" t="s">
        <v>58</v>
      </c>
      <c r="D38" s="10" t="s">
        <v>165</v>
      </c>
      <c r="E38" s="10" t="s">
        <v>166</v>
      </c>
      <c r="F38" s="10" t="s">
        <v>29</v>
      </c>
      <c r="G38" s="11" t="n">
        <v>1</v>
      </c>
      <c r="H38" s="9" t="s">
        <v>158</v>
      </c>
      <c r="I38" s="9"/>
    </row>
    <row r="39" customFormat="false" ht="24" hidden="false" customHeight="true" outlineLevel="0" collapsed="false">
      <c r="A39" s="9" t="s">
        <v>167</v>
      </c>
      <c r="B39" s="9" t="n">
        <v>5</v>
      </c>
      <c r="C39" s="10" t="s">
        <v>105</v>
      </c>
      <c r="D39" s="10" t="s">
        <v>168</v>
      </c>
      <c r="E39" s="10" t="s">
        <v>169</v>
      </c>
      <c r="F39" s="10" t="s">
        <v>44</v>
      </c>
      <c r="G39" s="11" t="n">
        <v>0.5</v>
      </c>
      <c r="H39" s="9" t="s">
        <v>155</v>
      </c>
      <c r="I39" s="9"/>
    </row>
    <row r="40" customFormat="false" ht="24" hidden="false" customHeight="true" outlineLevel="0" collapsed="false">
      <c r="A40" s="12" t="s">
        <v>170</v>
      </c>
      <c r="B40" s="12" t="n">
        <v>6</v>
      </c>
      <c r="C40" s="13" t="s">
        <v>8</v>
      </c>
      <c r="D40" s="13" t="s">
        <v>171</v>
      </c>
      <c r="E40" s="13" t="s">
        <v>172</v>
      </c>
      <c r="F40" s="13" t="s">
        <v>48</v>
      </c>
      <c r="G40" s="14" t="n">
        <v>1</v>
      </c>
      <c r="H40" s="12" t="s">
        <v>164</v>
      </c>
      <c r="I40" s="12"/>
    </row>
    <row r="41" customFormat="false" ht="24" hidden="false" customHeight="true" outlineLevel="0" collapsed="false">
      <c r="A41" s="12" t="s">
        <v>173</v>
      </c>
      <c r="B41" s="12" t="n">
        <v>6</v>
      </c>
      <c r="C41" s="13" t="s">
        <v>174</v>
      </c>
      <c r="D41" s="13" t="s">
        <v>175</v>
      </c>
      <c r="E41" s="13" t="s">
        <v>176</v>
      </c>
      <c r="F41" s="13" t="s">
        <v>34</v>
      </c>
      <c r="G41" s="14" t="n">
        <v>4</v>
      </c>
      <c r="H41" s="12" t="s">
        <v>170</v>
      </c>
      <c r="I41" s="12"/>
    </row>
    <row r="42" customFormat="false" ht="24" hidden="false" customHeight="true" outlineLevel="0" collapsed="false">
      <c r="A42" s="12" t="s">
        <v>177</v>
      </c>
      <c r="B42" s="12" t="n">
        <v>6</v>
      </c>
      <c r="C42" s="13" t="s">
        <v>174</v>
      </c>
      <c r="D42" s="13" t="s">
        <v>178</v>
      </c>
      <c r="E42" s="13" t="s">
        <v>179</v>
      </c>
      <c r="F42" s="13" t="s">
        <v>29</v>
      </c>
      <c r="G42" s="14" t="n">
        <v>0.5</v>
      </c>
      <c r="H42" s="12" t="s">
        <v>173</v>
      </c>
      <c r="I42" s="12"/>
    </row>
    <row r="43" customFormat="false" ht="24" hidden="false" customHeight="true" outlineLevel="0" collapsed="false">
      <c r="A43" s="12" t="s">
        <v>180</v>
      </c>
      <c r="B43" s="12" t="n">
        <v>6</v>
      </c>
      <c r="C43" s="13" t="s">
        <v>174</v>
      </c>
      <c r="D43" s="13" t="s">
        <v>181</v>
      </c>
      <c r="E43" s="13" t="s">
        <v>182</v>
      </c>
      <c r="F43" s="13" t="s">
        <v>44</v>
      </c>
      <c r="G43" s="14" t="n">
        <v>1</v>
      </c>
      <c r="H43" s="12" t="s">
        <v>173</v>
      </c>
      <c r="I43" s="12"/>
    </row>
    <row r="44" customFormat="false" ht="15" hidden="false" customHeight="false" outlineLevel="0" collapsed="false">
      <c r="A44" s="15"/>
      <c r="B44" s="15"/>
      <c r="C44" s="15"/>
      <c r="D44" s="16" t="s">
        <v>183</v>
      </c>
      <c r="E44" s="15"/>
      <c r="F44" s="15"/>
      <c r="G44" s="17" t="n">
        <f aca="false">SUM(G5:G43)</f>
        <v>61</v>
      </c>
      <c r="H44" s="15"/>
      <c r="I44" s="15"/>
    </row>
  </sheetData>
  <autoFilter ref="A4:I43"/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5:I43" type="list">
      <formula1>"Belum,Berjalan,Selesai,Blocked"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6" min="3" style="0" width="13"/>
  </cols>
  <sheetData>
    <row r="1" customFormat="false" ht="19.5" hidden="false" customHeight="true" outlineLevel="0" collapsed="false">
      <c r="A1" s="1" t="s">
        <v>184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185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6" t="s">
        <v>21</v>
      </c>
      <c r="B4" s="6" t="s">
        <v>22</v>
      </c>
      <c r="C4" s="6" t="s">
        <v>29</v>
      </c>
      <c r="D4" s="6" t="s">
        <v>34</v>
      </c>
      <c r="E4" s="6" t="s">
        <v>44</v>
      </c>
      <c r="F4" s="6" t="s">
        <v>186</v>
      </c>
    </row>
    <row r="5" customFormat="false" ht="15" hidden="false" customHeight="false" outlineLevel="0" collapsed="false">
      <c r="A5" s="18" t="n">
        <v>1</v>
      </c>
      <c r="B5" s="19" t="s">
        <v>26</v>
      </c>
      <c r="C5" s="20" t="n">
        <f aca="false">SUMIFS('Rencana Kerja'!$G$5:$G$43,'Rencana Kerja'!$B$5:$B$43,$A5,'Rencana Kerja'!$F$5:$F$43,"Tech Lead")</f>
        <v>2.5</v>
      </c>
      <c r="D5" s="20" t="n">
        <f aca="false">SUMIFS('Rencana Kerja'!$G$5:$G$43,'Rencana Kerja'!$B$5:$B$43,$A5,'Rencana Kerja'!$F$5:$F$43,"Dev")</f>
        <v>2.5</v>
      </c>
      <c r="E5" s="20" t="n">
        <f aca="false">SUMIFS('Rencana Kerja'!$G$5:$G$43,'Rencana Kerja'!$B$5:$B$43,$A5,'Rencana Kerja'!$F$5:$F$43,"BA/QA")</f>
        <v>5</v>
      </c>
      <c r="F5" s="21" t="n">
        <f aca="false">SUM(C5:E5)</f>
        <v>10</v>
      </c>
    </row>
    <row r="6" customFormat="false" ht="15" hidden="false" customHeight="false" outlineLevel="0" collapsed="false">
      <c r="A6" s="18" t="n">
        <v>2</v>
      </c>
      <c r="B6" s="19" t="s">
        <v>31</v>
      </c>
      <c r="C6" s="20" t="n">
        <f aca="false">SUMIFS('Rencana Kerja'!$G$5:$G$43,'Rencana Kerja'!$B$5:$B$43,$A6,'Rencana Kerja'!$F$5:$F$43,"Tech Lead")</f>
        <v>0</v>
      </c>
      <c r="D6" s="20" t="n">
        <f aca="false">SUMIFS('Rencana Kerja'!$G$5:$G$43,'Rencana Kerja'!$B$5:$B$43,$A6,'Rencana Kerja'!$F$5:$F$43,"Dev")</f>
        <v>9.5</v>
      </c>
      <c r="E6" s="20" t="n">
        <f aca="false">SUMIFS('Rencana Kerja'!$G$5:$G$43,'Rencana Kerja'!$B$5:$B$43,$A6,'Rencana Kerja'!$F$5:$F$43,"BA/QA")</f>
        <v>2.5</v>
      </c>
      <c r="F6" s="21" t="n">
        <f aca="false">SUM(C6:E6)</f>
        <v>12</v>
      </c>
    </row>
    <row r="7" customFormat="false" ht="15" hidden="false" customHeight="false" outlineLevel="0" collapsed="false">
      <c r="A7" s="18" t="n">
        <v>3</v>
      </c>
      <c r="B7" s="19" t="s">
        <v>35</v>
      </c>
      <c r="C7" s="20" t="n">
        <f aca="false">SUMIFS('Rencana Kerja'!$G$5:$G$43,'Rencana Kerja'!$B$5:$B$43,$A7,'Rencana Kerja'!$F$5:$F$43,"Tech Lead")</f>
        <v>0</v>
      </c>
      <c r="D7" s="20" t="n">
        <f aca="false">SUMIFS('Rencana Kerja'!$G$5:$G$43,'Rencana Kerja'!$B$5:$B$43,$A7,'Rencana Kerja'!$F$5:$F$43,"Dev")</f>
        <v>7</v>
      </c>
      <c r="E7" s="20" t="n">
        <f aca="false">SUMIFS('Rencana Kerja'!$G$5:$G$43,'Rencana Kerja'!$B$5:$B$43,$A7,'Rencana Kerja'!$F$5:$F$43,"BA/QA")</f>
        <v>2.5</v>
      </c>
      <c r="F7" s="21" t="n">
        <f aca="false">SUM(C7:E7)</f>
        <v>9.5</v>
      </c>
    </row>
    <row r="8" customFormat="false" ht="15" hidden="false" customHeight="false" outlineLevel="0" collapsed="false">
      <c r="A8" s="18" t="n">
        <v>4</v>
      </c>
      <c r="B8" s="19" t="s">
        <v>38</v>
      </c>
      <c r="C8" s="20" t="n">
        <f aca="false">SUMIFS('Rencana Kerja'!$G$5:$G$43,'Rencana Kerja'!$B$5:$B$43,$A8,'Rencana Kerja'!$F$5:$F$43,"Tech Lead")</f>
        <v>1</v>
      </c>
      <c r="D8" s="20" t="n">
        <f aca="false">SUMIFS('Rencana Kerja'!$G$5:$G$43,'Rencana Kerja'!$B$5:$B$43,$A8,'Rencana Kerja'!$F$5:$F$43,"Dev")</f>
        <v>9.5</v>
      </c>
      <c r="E8" s="20" t="n">
        <f aca="false">SUMIFS('Rencana Kerja'!$G$5:$G$43,'Rencana Kerja'!$B$5:$B$43,$A8,'Rencana Kerja'!$F$5:$F$43,"BA/QA")</f>
        <v>1.5</v>
      </c>
      <c r="F8" s="21" t="n">
        <f aca="false">SUM(C8:E8)</f>
        <v>12</v>
      </c>
    </row>
    <row r="9" customFormat="false" ht="15" hidden="false" customHeight="false" outlineLevel="0" collapsed="false">
      <c r="A9" s="18" t="n">
        <v>5</v>
      </c>
      <c r="B9" s="19" t="s">
        <v>41</v>
      </c>
      <c r="C9" s="20" t="n">
        <f aca="false">SUMIFS('Rencana Kerja'!$G$5:$G$43,'Rencana Kerja'!$B$5:$B$43,$A9,'Rencana Kerja'!$F$5:$F$43,"Tech Lead")</f>
        <v>1</v>
      </c>
      <c r="D9" s="20" t="n">
        <f aca="false">SUMIFS('Rencana Kerja'!$G$5:$G$43,'Rencana Kerja'!$B$5:$B$43,$A9,'Rencana Kerja'!$F$5:$F$43,"Dev")</f>
        <v>3</v>
      </c>
      <c r="E9" s="20" t="n">
        <f aca="false">SUMIFS('Rencana Kerja'!$G$5:$G$43,'Rencana Kerja'!$B$5:$B$43,$A9,'Rencana Kerja'!$F$5:$F$43,"BA/QA")</f>
        <v>7</v>
      </c>
      <c r="F9" s="21" t="n">
        <f aca="false">SUM(C9:E9)</f>
        <v>11</v>
      </c>
    </row>
    <row r="10" customFormat="false" ht="15" hidden="false" customHeight="false" outlineLevel="0" collapsed="false">
      <c r="A10" s="18" t="n">
        <v>6</v>
      </c>
      <c r="B10" s="19" t="s">
        <v>45</v>
      </c>
      <c r="C10" s="20" t="n">
        <f aca="false">SUMIFS('Rencana Kerja'!$G$5:$G$43,'Rencana Kerja'!$B$5:$B$43,$A10,'Rencana Kerja'!$F$5:$F$43,"Tech Lead")</f>
        <v>0.5</v>
      </c>
      <c r="D10" s="20" t="n">
        <f aca="false">SUMIFS('Rencana Kerja'!$G$5:$G$43,'Rencana Kerja'!$B$5:$B$43,$A10,'Rencana Kerja'!$F$5:$F$43,"Dev")</f>
        <v>4</v>
      </c>
      <c r="E10" s="20" t="n">
        <f aca="false">SUMIFS('Rencana Kerja'!$G$5:$G$43,'Rencana Kerja'!$B$5:$B$43,$A10,'Rencana Kerja'!$F$5:$F$43,"BA/QA")</f>
        <v>1</v>
      </c>
      <c r="F10" s="21" t="n">
        <f aca="false">SUM(C10:E10)</f>
        <v>5.5</v>
      </c>
    </row>
    <row r="11" customFormat="false" ht="15" hidden="false" customHeight="false" outlineLevel="0" collapsed="false">
      <c r="A11" s="22"/>
      <c r="B11" s="23" t="s">
        <v>187</v>
      </c>
      <c r="C11" s="24" t="n">
        <f aca="false">C5+C6+C7+C8+C9+C10</f>
        <v>5</v>
      </c>
      <c r="D11" s="24" t="n">
        <f aca="false">D5+D6+D7+D8+D9+D10</f>
        <v>35.5</v>
      </c>
      <c r="E11" s="24" t="n">
        <f aca="false">E5+E6+E7+E8+E9+E10</f>
        <v>19.5</v>
      </c>
      <c r="F11" s="24" t="n">
        <f aca="false">F5+F6+F7+F8+F9+F10</f>
        <v>60</v>
      </c>
    </row>
    <row r="13" customFormat="false" ht="19.4" hidden="false" customHeight="true" outlineLevel="0" collapsed="false">
      <c r="A13" s="25" t="s">
        <v>188</v>
      </c>
      <c r="B13" s="25"/>
      <c r="C13" s="25"/>
      <c r="D13" s="25"/>
      <c r="E13" s="25"/>
      <c r="F13" s="25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</cols>
  <sheetData>
    <row r="1" customFormat="false" ht="19.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190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191</v>
      </c>
      <c r="B4" s="6" t="s">
        <v>29</v>
      </c>
      <c r="C4" s="6" t="s">
        <v>34</v>
      </c>
      <c r="D4" s="6" t="s">
        <v>44</v>
      </c>
      <c r="E4" s="6" t="s">
        <v>192</v>
      </c>
      <c r="F4" s="6" t="s">
        <v>193</v>
      </c>
      <c r="G4" s="6" t="s">
        <v>194</v>
      </c>
      <c r="H4" s="6" t="s">
        <v>195</v>
      </c>
    </row>
    <row r="5" customFormat="false" ht="21.75" hidden="false" customHeight="true" outlineLevel="0" collapsed="false">
      <c r="A5" s="26" t="s">
        <v>196</v>
      </c>
      <c r="B5" s="27" t="s">
        <v>197</v>
      </c>
      <c r="C5" s="28" t="s">
        <v>198</v>
      </c>
      <c r="D5" s="28" t="s">
        <v>198</v>
      </c>
      <c r="E5" s="28" t="s">
        <v>199</v>
      </c>
      <c r="F5" s="28" t="s">
        <v>198</v>
      </c>
      <c r="G5" s="28" t="s">
        <v>199</v>
      </c>
      <c r="H5" s="28" t="s">
        <v>199</v>
      </c>
    </row>
    <row r="6" customFormat="false" ht="21.75" hidden="false" customHeight="true" outlineLevel="0" collapsed="false">
      <c r="A6" s="26" t="s">
        <v>200</v>
      </c>
      <c r="B6" s="28" t="s">
        <v>198</v>
      </c>
      <c r="C6" s="28" t="s">
        <v>199</v>
      </c>
      <c r="D6" s="28" t="s">
        <v>201</v>
      </c>
      <c r="E6" s="27" t="s">
        <v>202</v>
      </c>
      <c r="F6" s="28" t="s">
        <v>198</v>
      </c>
      <c r="G6" s="28" t="s">
        <v>198</v>
      </c>
      <c r="H6" s="28" t="s">
        <v>199</v>
      </c>
    </row>
    <row r="7" customFormat="false" ht="21.75" hidden="false" customHeight="true" outlineLevel="0" collapsed="false">
      <c r="A7" s="26" t="s">
        <v>203</v>
      </c>
      <c r="B7" s="28" t="s">
        <v>199</v>
      </c>
      <c r="C7" s="28" t="s">
        <v>199</v>
      </c>
      <c r="D7" s="28" t="s">
        <v>198</v>
      </c>
      <c r="E7" s="28" t="s">
        <v>198</v>
      </c>
      <c r="F7" s="27" t="s">
        <v>197</v>
      </c>
      <c r="G7" s="28" t="s">
        <v>199</v>
      </c>
      <c r="H7" s="28" t="s">
        <v>199</v>
      </c>
    </row>
    <row r="8" customFormat="false" ht="21.75" hidden="false" customHeight="true" outlineLevel="0" collapsed="false">
      <c r="A8" s="26" t="s">
        <v>204</v>
      </c>
      <c r="B8" s="27" t="s">
        <v>202</v>
      </c>
      <c r="C8" s="28" t="s">
        <v>201</v>
      </c>
      <c r="D8" s="28" t="s">
        <v>198</v>
      </c>
      <c r="E8" s="28" t="s">
        <v>199</v>
      </c>
      <c r="F8" s="28" t="s">
        <v>199</v>
      </c>
      <c r="G8" s="28" t="s">
        <v>198</v>
      </c>
      <c r="H8" s="28" t="s">
        <v>199</v>
      </c>
    </row>
    <row r="9" customFormat="false" ht="21.75" hidden="false" customHeight="true" outlineLevel="0" collapsed="false">
      <c r="A9" s="26" t="s">
        <v>205</v>
      </c>
      <c r="B9" s="28" t="s">
        <v>198</v>
      </c>
      <c r="C9" s="28" t="s">
        <v>201</v>
      </c>
      <c r="D9" s="28" t="s">
        <v>198</v>
      </c>
      <c r="E9" s="27" t="s">
        <v>202</v>
      </c>
      <c r="F9" s="28" t="s">
        <v>199</v>
      </c>
      <c r="G9" s="28" t="s">
        <v>198</v>
      </c>
      <c r="H9" s="28" t="s">
        <v>199</v>
      </c>
    </row>
    <row r="10" customFormat="false" ht="21.75" hidden="false" customHeight="true" outlineLevel="0" collapsed="false">
      <c r="A10" s="26" t="s">
        <v>206</v>
      </c>
      <c r="B10" s="28" t="s">
        <v>198</v>
      </c>
      <c r="C10" s="28" t="s">
        <v>198</v>
      </c>
      <c r="D10" s="27" t="s">
        <v>197</v>
      </c>
      <c r="E10" s="28" t="s">
        <v>198</v>
      </c>
      <c r="F10" s="28" t="s">
        <v>201</v>
      </c>
      <c r="G10" s="28" t="s">
        <v>201</v>
      </c>
      <c r="H10" s="28" t="s">
        <v>199</v>
      </c>
    </row>
    <row r="11" customFormat="false" ht="21.75" hidden="false" customHeight="true" outlineLevel="0" collapsed="false">
      <c r="A11" s="26" t="s">
        <v>207</v>
      </c>
      <c r="B11" s="28" t="s">
        <v>199</v>
      </c>
      <c r="C11" s="28" t="s">
        <v>198</v>
      </c>
      <c r="D11" s="27" t="s">
        <v>197</v>
      </c>
      <c r="E11" s="28" t="s">
        <v>198</v>
      </c>
      <c r="F11" s="28" t="s">
        <v>198</v>
      </c>
      <c r="G11" s="28" t="s">
        <v>201</v>
      </c>
      <c r="H11" s="28" t="s">
        <v>199</v>
      </c>
    </row>
    <row r="12" customFormat="false" ht="21.75" hidden="false" customHeight="true" outlineLevel="0" collapsed="false">
      <c r="A12" s="26" t="s">
        <v>208</v>
      </c>
      <c r="B12" s="28" t="s">
        <v>198</v>
      </c>
      <c r="C12" s="28" t="s">
        <v>198</v>
      </c>
      <c r="D12" s="28" t="s">
        <v>201</v>
      </c>
      <c r="E12" s="27" t="s">
        <v>202</v>
      </c>
      <c r="F12" s="28" t="s">
        <v>198</v>
      </c>
      <c r="G12" s="28" t="s">
        <v>201</v>
      </c>
      <c r="H12" s="28" t="s">
        <v>199</v>
      </c>
    </row>
    <row r="13" customFormat="false" ht="21.75" hidden="false" customHeight="true" outlineLevel="0" collapsed="false">
      <c r="A13" s="26" t="s">
        <v>209</v>
      </c>
      <c r="B13" s="28" t="s">
        <v>198</v>
      </c>
      <c r="C13" s="28" t="s">
        <v>199</v>
      </c>
      <c r="D13" s="28" t="s">
        <v>201</v>
      </c>
      <c r="E13" s="27" t="s">
        <v>202</v>
      </c>
      <c r="F13" s="27" t="s">
        <v>202</v>
      </c>
      <c r="G13" s="28" t="s">
        <v>198</v>
      </c>
      <c r="H13" s="28" t="s">
        <v>199</v>
      </c>
    </row>
    <row r="14" customFormat="false" ht="21.75" hidden="false" customHeight="true" outlineLevel="0" collapsed="false">
      <c r="A14" s="26" t="s">
        <v>210</v>
      </c>
      <c r="B14" s="27" t="s">
        <v>202</v>
      </c>
      <c r="C14" s="28" t="s">
        <v>201</v>
      </c>
      <c r="D14" s="28" t="s">
        <v>198</v>
      </c>
      <c r="E14" s="28" t="s">
        <v>198</v>
      </c>
      <c r="F14" s="28" t="s">
        <v>198</v>
      </c>
      <c r="G14" s="28" t="s">
        <v>198</v>
      </c>
      <c r="H14" s="28" t="s">
        <v>199</v>
      </c>
    </row>
    <row r="15" customFormat="false" ht="21.75" hidden="false" customHeight="true" outlineLevel="0" collapsed="false">
      <c r="A15" s="26" t="s">
        <v>211</v>
      </c>
      <c r="B15" s="28" t="s">
        <v>198</v>
      </c>
      <c r="C15" s="28" t="s">
        <v>199</v>
      </c>
      <c r="D15" s="28" t="s">
        <v>201</v>
      </c>
      <c r="E15" s="27" t="s">
        <v>202</v>
      </c>
      <c r="F15" s="28" t="s">
        <v>198</v>
      </c>
      <c r="G15" s="28" t="s">
        <v>199</v>
      </c>
      <c r="H15" s="28" t="s">
        <v>198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46"/>
    <col collapsed="false" customWidth="true" hidden="false" outlineLevel="0" max="7" min="7" style="0" width="14"/>
    <col collapsed="false" customWidth="true" hidden="false" outlineLevel="0" max="8" min="8" style="0" width="13"/>
  </cols>
  <sheetData>
    <row r="1" customFormat="false" ht="19.5" hidden="false" customHeight="true" outlineLevel="0" collapsed="false">
      <c r="A1" s="1" t="s">
        <v>212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213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6" t="s">
        <v>51</v>
      </c>
      <c r="B4" s="6" t="s">
        <v>214</v>
      </c>
      <c r="C4" s="6" t="s">
        <v>215</v>
      </c>
      <c r="D4" s="6" t="s">
        <v>216</v>
      </c>
      <c r="E4" s="6" t="s">
        <v>217</v>
      </c>
      <c r="F4" s="6" t="s">
        <v>218</v>
      </c>
      <c r="G4" s="6" t="s">
        <v>219</v>
      </c>
      <c r="H4" s="6" t="s">
        <v>220</v>
      </c>
    </row>
    <row r="5" customFormat="false" ht="30" hidden="false" customHeight="true" outlineLevel="0" collapsed="false">
      <c r="A5" s="29" t="s">
        <v>221</v>
      </c>
      <c r="B5" s="29" t="s">
        <v>222</v>
      </c>
      <c r="C5" s="30" t="s">
        <v>223</v>
      </c>
      <c r="D5" s="31" t="s">
        <v>224</v>
      </c>
      <c r="E5" s="29" t="s">
        <v>225</v>
      </c>
      <c r="F5" s="30" t="s">
        <v>226</v>
      </c>
      <c r="G5" s="30" t="s">
        <v>29</v>
      </c>
      <c r="H5" s="29" t="s">
        <v>227</v>
      </c>
    </row>
    <row r="6" customFormat="false" ht="30" hidden="false" customHeight="true" outlineLevel="0" collapsed="false">
      <c r="A6" s="29" t="s">
        <v>228</v>
      </c>
      <c r="B6" s="29" t="s">
        <v>222</v>
      </c>
      <c r="C6" s="30" t="s">
        <v>229</v>
      </c>
      <c r="D6" s="31" t="s">
        <v>224</v>
      </c>
      <c r="E6" s="29" t="s">
        <v>224</v>
      </c>
      <c r="F6" s="30" t="s">
        <v>230</v>
      </c>
      <c r="G6" s="30" t="s">
        <v>34</v>
      </c>
      <c r="H6" s="29" t="s">
        <v>231</v>
      </c>
    </row>
    <row r="7" customFormat="false" ht="30" hidden="false" customHeight="true" outlineLevel="0" collapsed="false">
      <c r="A7" s="29" t="s">
        <v>232</v>
      </c>
      <c r="B7" s="29" t="s">
        <v>222</v>
      </c>
      <c r="C7" s="30" t="s">
        <v>233</v>
      </c>
      <c r="D7" s="31" t="s">
        <v>224</v>
      </c>
      <c r="E7" s="29" t="s">
        <v>225</v>
      </c>
      <c r="F7" s="30" t="s">
        <v>234</v>
      </c>
      <c r="G7" s="30" t="s">
        <v>44</v>
      </c>
      <c r="H7" s="29" t="s">
        <v>227</v>
      </c>
    </row>
    <row r="8" customFormat="false" ht="30" hidden="false" customHeight="true" outlineLevel="0" collapsed="false">
      <c r="A8" s="29" t="s">
        <v>235</v>
      </c>
      <c r="B8" s="29" t="s">
        <v>222</v>
      </c>
      <c r="C8" s="30" t="s">
        <v>236</v>
      </c>
      <c r="D8" s="32" t="s">
        <v>225</v>
      </c>
      <c r="E8" s="29" t="s">
        <v>224</v>
      </c>
      <c r="F8" s="30" t="s">
        <v>237</v>
      </c>
      <c r="G8" s="30" t="s">
        <v>34</v>
      </c>
      <c r="H8" s="29" t="s">
        <v>238</v>
      </c>
    </row>
    <row r="9" customFormat="false" ht="30" hidden="false" customHeight="true" outlineLevel="0" collapsed="false">
      <c r="A9" s="29" t="s">
        <v>239</v>
      </c>
      <c r="B9" s="29" t="s">
        <v>222</v>
      </c>
      <c r="C9" s="30" t="s">
        <v>240</v>
      </c>
      <c r="D9" s="32" t="s">
        <v>225</v>
      </c>
      <c r="E9" s="29" t="s">
        <v>225</v>
      </c>
      <c r="F9" s="30" t="s">
        <v>241</v>
      </c>
      <c r="G9" s="30" t="s">
        <v>29</v>
      </c>
      <c r="H9" s="29" t="s">
        <v>231</v>
      </c>
    </row>
    <row r="10" customFormat="false" ht="30" hidden="false" customHeight="true" outlineLevel="0" collapsed="false">
      <c r="A10" s="33" t="s">
        <v>242</v>
      </c>
      <c r="B10" s="33" t="s">
        <v>243</v>
      </c>
      <c r="C10" s="34" t="s">
        <v>244</v>
      </c>
      <c r="D10" s="31" t="s">
        <v>224</v>
      </c>
      <c r="E10" s="33" t="s">
        <v>245</v>
      </c>
      <c r="F10" s="34" t="s">
        <v>246</v>
      </c>
      <c r="G10" s="34" t="s">
        <v>44</v>
      </c>
      <c r="H10" s="33" t="s">
        <v>238</v>
      </c>
    </row>
    <row r="11" customFormat="false" ht="30" hidden="false" customHeight="true" outlineLevel="0" collapsed="false">
      <c r="A11" s="33" t="s">
        <v>247</v>
      </c>
      <c r="B11" s="33" t="s">
        <v>243</v>
      </c>
      <c r="C11" s="34" t="s">
        <v>248</v>
      </c>
      <c r="D11" s="31" t="s">
        <v>224</v>
      </c>
      <c r="E11" s="33" t="s">
        <v>245</v>
      </c>
      <c r="F11" s="34" t="s">
        <v>249</v>
      </c>
      <c r="G11" s="34" t="s">
        <v>193</v>
      </c>
      <c r="H11" s="33" t="s">
        <v>238</v>
      </c>
    </row>
    <row r="12" customFormat="false" ht="30" hidden="false" customHeight="true" outlineLevel="0" collapsed="false">
      <c r="A12" s="33" t="s">
        <v>250</v>
      </c>
      <c r="B12" s="33" t="s">
        <v>243</v>
      </c>
      <c r="C12" s="34" t="s">
        <v>251</v>
      </c>
      <c r="D12" s="31" t="s">
        <v>224</v>
      </c>
      <c r="E12" s="33" t="s">
        <v>245</v>
      </c>
      <c r="F12" s="34" t="s">
        <v>252</v>
      </c>
      <c r="G12" s="34" t="s">
        <v>193</v>
      </c>
      <c r="H12" s="33" t="s">
        <v>231</v>
      </c>
    </row>
    <row r="13" customFormat="false" ht="30" hidden="false" customHeight="true" outlineLevel="0" collapsed="false">
      <c r="A13" s="33" t="s">
        <v>253</v>
      </c>
      <c r="B13" s="33" t="s">
        <v>243</v>
      </c>
      <c r="C13" s="34" t="s">
        <v>254</v>
      </c>
      <c r="D13" s="32" t="s">
        <v>225</v>
      </c>
      <c r="E13" s="33" t="s">
        <v>245</v>
      </c>
      <c r="F13" s="34" t="s">
        <v>255</v>
      </c>
      <c r="G13" s="34" t="s">
        <v>44</v>
      </c>
      <c r="H13" s="33" t="s">
        <v>231</v>
      </c>
    </row>
    <row r="14" customFormat="false" ht="30" hidden="false" customHeight="true" outlineLevel="0" collapsed="false">
      <c r="A14" s="35" t="s">
        <v>256</v>
      </c>
      <c r="B14" s="35" t="s">
        <v>257</v>
      </c>
      <c r="C14" s="36" t="s">
        <v>258</v>
      </c>
      <c r="D14" s="31" t="s">
        <v>224</v>
      </c>
      <c r="E14" s="35" t="s">
        <v>245</v>
      </c>
      <c r="F14" s="36" t="s">
        <v>259</v>
      </c>
      <c r="G14" s="36" t="s">
        <v>192</v>
      </c>
      <c r="H14" s="35" t="s">
        <v>231</v>
      </c>
    </row>
    <row r="15" customFormat="false" ht="30" hidden="false" customHeight="true" outlineLevel="0" collapsed="false">
      <c r="A15" s="37" t="s">
        <v>260</v>
      </c>
      <c r="B15" s="37" t="s">
        <v>261</v>
      </c>
      <c r="C15" s="38" t="s">
        <v>262</v>
      </c>
      <c r="D15" s="32" t="s">
        <v>225</v>
      </c>
      <c r="E15" s="37" t="s">
        <v>245</v>
      </c>
      <c r="F15" s="38" t="s">
        <v>263</v>
      </c>
      <c r="G15" s="38" t="s">
        <v>29</v>
      </c>
      <c r="H15" s="37" t="s">
        <v>238</v>
      </c>
    </row>
    <row r="16" customFormat="false" ht="30" hidden="false" customHeight="true" outlineLevel="0" collapsed="false">
      <c r="A16" s="37" t="s">
        <v>264</v>
      </c>
      <c r="B16" s="37" t="s">
        <v>261</v>
      </c>
      <c r="C16" s="38" t="s">
        <v>265</v>
      </c>
      <c r="D16" s="31" t="s">
        <v>224</v>
      </c>
      <c r="E16" s="37" t="s">
        <v>245</v>
      </c>
      <c r="F16" s="38" t="s">
        <v>266</v>
      </c>
      <c r="G16" s="38" t="s">
        <v>44</v>
      </c>
      <c r="H16" s="37" t="s">
        <v>267</v>
      </c>
    </row>
    <row r="17" customFormat="false" ht="30" hidden="false" customHeight="true" outlineLevel="0" collapsed="false">
      <c r="A17" s="37" t="s">
        <v>268</v>
      </c>
      <c r="B17" s="37" t="s">
        <v>261</v>
      </c>
      <c r="C17" s="38" t="s">
        <v>269</v>
      </c>
      <c r="D17" s="31" t="s">
        <v>224</v>
      </c>
      <c r="E17" s="37" t="s">
        <v>245</v>
      </c>
      <c r="F17" s="38" t="s">
        <v>270</v>
      </c>
      <c r="G17" s="38" t="s">
        <v>44</v>
      </c>
      <c r="H17" s="37" t="s">
        <v>271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" t="s">
        <v>272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273</v>
      </c>
      <c r="B2" s="2"/>
      <c r="C2" s="2"/>
      <c r="D2" s="2"/>
      <c r="E2" s="2"/>
    </row>
    <row r="4" customFormat="false" ht="30" hidden="false" customHeight="true" outlineLevel="0" collapsed="false">
      <c r="A4" s="6" t="s">
        <v>274</v>
      </c>
      <c r="B4" s="6" t="s">
        <v>275</v>
      </c>
      <c r="C4" s="6" t="s">
        <v>276</v>
      </c>
      <c r="D4" s="6" t="s">
        <v>277</v>
      </c>
      <c r="E4" s="6" t="s">
        <v>278</v>
      </c>
    </row>
    <row r="5" customFormat="false" ht="24" hidden="false" customHeight="true" outlineLevel="0" collapsed="false">
      <c r="A5" s="9" t="n">
        <v>1</v>
      </c>
      <c r="B5" s="10" t="s">
        <v>279</v>
      </c>
      <c r="C5" s="10" t="s">
        <v>280</v>
      </c>
      <c r="D5" s="10" t="s">
        <v>44</v>
      </c>
      <c r="E5" s="39"/>
    </row>
    <row r="6" customFormat="false" ht="24" hidden="false" customHeight="true" outlineLevel="0" collapsed="false">
      <c r="A6" s="9" t="n">
        <v>2</v>
      </c>
      <c r="B6" s="10" t="s">
        <v>281</v>
      </c>
      <c r="C6" s="10" t="s">
        <v>282</v>
      </c>
      <c r="D6" s="10" t="s">
        <v>44</v>
      </c>
      <c r="E6" s="39"/>
    </row>
    <row r="7" customFormat="false" ht="24" hidden="false" customHeight="true" outlineLevel="0" collapsed="false">
      <c r="A7" s="9" t="n">
        <v>3</v>
      </c>
      <c r="B7" s="10" t="s">
        <v>283</v>
      </c>
      <c r="C7" s="10" t="s">
        <v>284</v>
      </c>
      <c r="D7" s="10" t="s">
        <v>193</v>
      </c>
      <c r="E7" s="39"/>
    </row>
    <row r="8" customFormat="false" ht="24" hidden="false" customHeight="true" outlineLevel="0" collapsed="false">
      <c r="A8" s="9" t="n">
        <v>4</v>
      </c>
      <c r="B8" s="10" t="s">
        <v>285</v>
      </c>
      <c r="C8" s="10" t="s">
        <v>286</v>
      </c>
      <c r="D8" s="10" t="s">
        <v>287</v>
      </c>
      <c r="E8" s="39"/>
    </row>
    <row r="9" customFormat="false" ht="24" hidden="false" customHeight="true" outlineLevel="0" collapsed="false">
      <c r="A9" s="9" t="n">
        <v>5</v>
      </c>
      <c r="B9" s="10" t="s">
        <v>288</v>
      </c>
      <c r="C9" s="10" t="s">
        <v>141</v>
      </c>
      <c r="D9" s="10" t="s">
        <v>44</v>
      </c>
      <c r="E9" s="39"/>
    </row>
    <row r="10" customFormat="false" ht="24" hidden="false" customHeight="true" outlineLevel="0" collapsed="false">
      <c r="A10" s="9" t="n">
        <v>6</v>
      </c>
      <c r="B10" s="10" t="s">
        <v>289</v>
      </c>
      <c r="C10" s="10" t="s">
        <v>290</v>
      </c>
      <c r="D10" s="10" t="s">
        <v>194</v>
      </c>
      <c r="E10" s="39"/>
    </row>
    <row r="11" customFormat="false" ht="24" hidden="false" customHeight="true" outlineLevel="0" collapsed="false">
      <c r="A11" s="9" t="n">
        <v>7</v>
      </c>
      <c r="B11" s="10" t="s">
        <v>291</v>
      </c>
      <c r="C11" s="10" t="s">
        <v>292</v>
      </c>
      <c r="D11" s="10" t="s">
        <v>193</v>
      </c>
      <c r="E11" s="39"/>
    </row>
    <row r="12" customFormat="false" ht="24" hidden="false" customHeight="true" outlineLevel="0" collapsed="false">
      <c r="A12" s="9" t="n">
        <v>8</v>
      </c>
      <c r="B12" s="10" t="s">
        <v>293</v>
      </c>
      <c r="C12" s="10" t="s">
        <v>294</v>
      </c>
      <c r="D12" s="10" t="s">
        <v>193</v>
      </c>
      <c r="E12" s="39"/>
    </row>
    <row r="13" customFormat="false" ht="24" hidden="false" customHeight="true" outlineLevel="0" collapsed="false">
      <c r="A13" s="9" t="n">
        <v>9</v>
      </c>
      <c r="B13" s="10" t="s">
        <v>295</v>
      </c>
      <c r="C13" s="10" t="s">
        <v>296</v>
      </c>
      <c r="D13" s="10" t="s">
        <v>44</v>
      </c>
      <c r="E13" s="39"/>
    </row>
    <row r="14" customFormat="false" ht="24" hidden="false" customHeight="true" outlineLevel="0" collapsed="false">
      <c r="A14" s="9" t="n">
        <v>10</v>
      </c>
      <c r="B14" s="10" t="s">
        <v>297</v>
      </c>
      <c r="C14" s="10" t="s">
        <v>298</v>
      </c>
      <c r="D14" s="10" t="s">
        <v>29</v>
      </c>
      <c r="E14" s="39"/>
    </row>
    <row r="15" customFormat="false" ht="24" hidden="false" customHeight="true" outlineLevel="0" collapsed="false">
      <c r="A15" s="9" t="n">
        <v>11</v>
      </c>
      <c r="B15" s="10" t="s">
        <v>299</v>
      </c>
      <c r="C15" s="10" t="s">
        <v>300</v>
      </c>
      <c r="D15" s="10" t="s">
        <v>192</v>
      </c>
      <c r="E15" s="39"/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5:E15" type="list">
      <formula1>"Ya,Belum,N/A"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2026-08-15T01:52:27Z</dcterms:created>
  <dc:creator>openpyxl</dc:creator>
  <dc:description/>
  <dc:language>en-US</dc:language>
  <cp:lastModifiedBy/>
  <dcterms:modified xsi:type="dcterms:W3CDTF">2026-08-15T01:52:27Z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