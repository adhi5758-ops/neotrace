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encana Kerja" sheetId="2" state="visible" r:id="rId4"/>
    <sheet name="Effort per Minggu" sheetId="3" state="visible" r:id="rId5"/>
    <sheet name="RACI" sheetId="4" state="visible" r:id="rId6"/>
    <sheet name="RAID" sheetId="5" state="visible" r:id="rId7"/>
    <sheet name="Exit Criteria" sheetId="6" state="visible" r:id="rId8"/>
  </sheets>
  <definedNames>
    <definedName function="false" hidden="true" localSheetId="1" name="_xlnm._FilterDatabase" vbProcedure="false">'Rencana Kerja'!$A$4:$I$47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<sst xmlns="http://schemas.openxmlformats.org/spreadsheetml/2006/main" count="609" uniqueCount="316">
  <si>
    <t xml:space="preserve">NEOTRACE Fase 2 — Rencana Kerja</t>
  </si>
  <si>
    <t xml:space="preserve">PT Neopangan Selaras Indonesia (Neofood) · Sauce Division · 8 minggu · put-away, zonasi alergen, pick list, staging</t>
  </si>
  <si>
    <t xml:space="preserve">Tujuan Fase 2</t>
  </si>
  <si>
    <t xml:space="preserve">Menghilangkan penempatan bahan yang salah, mempercepat pengambilan bahan ke produksi, dan mencegah kontaminasi silang secara sistem</t>
  </si>
  <si>
    <t xml:space="preserve">Durasi</t>
  </si>
  <si>
    <t xml:space="preserve">8 minggu (7 minggu build + 1 minggu hypercare)</t>
  </si>
  <si>
    <t xml:space="preserve">Mulai</t>
  </si>
  <si>
    <t xml:space="preserve">12 October 2026 — 10 hari kerja setelah Fase 1 stabil</t>
  </si>
  <si>
    <t xml:space="preserve">Go-live</t>
  </si>
  <si>
    <t xml:space="preserve">04 December 2026</t>
  </si>
  <si>
    <t xml:space="preserve">Lingkup</t>
  </si>
  <si>
    <t xml:space="preserve">Put-away terarah, zonasi alergen dengan blokir keras, pick list dari formula, manajemen staging</t>
  </si>
  <si>
    <t xml:space="preserve">Di luar lingkup</t>
  </si>
  <si>
    <t xml:space="preserve">Wave &amp; cluster picking, cross-docking, packing &amp; SSCC, RFID, dual UoM, integrasi ERP, KPI tenaga kerja, forecasting</t>
  </si>
  <si>
    <t xml:space="preserve">Prasyarat mutlak</t>
  </si>
  <si>
    <t xml:space="preserve">Fase 1 sudah live dan stabil; denah rak lengkap dengan kapasitas, level, dan kebijakan alergen sudah diverifikasi QA Neofood</t>
  </si>
  <si>
    <t xml:space="preserve">Tim inti</t>
  </si>
  <si>
    <t xml:space="preserve">1 Tech Lead, 2 Full-stack Dev, 1 BA/QA, 1 Product Owner Neofood, 1 Supervisor Gudang (dedicated 50%)</t>
  </si>
  <si>
    <t xml:space="preserve">Perubahan dari Fase 1</t>
  </si>
  <si>
    <t xml:space="preserve">Dev ditambah jadi 2 orang. Pada Fase 1 beban Dev mencapai 9,5 md/minggu terhadap kapasitas 5 md — tidak boleh diulang.</t>
  </si>
  <si>
    <t xml:space="preserve">Milestone</t>
  </si>
  <si>
    <t xml:space="preserve">Minggu</t>
  </si>
  <si>
    <t xml:space="preserve">Tanggal</t>
  </si>
  <si>
    <t xml:space="preserve">Kriteria selesai</t>
  </si>
  <si>
    <t xml:space="preserve">PIC</t>
  </si>
  <si>
    <t xml:space="preserve">Status</t>
  </si>
  <si>
    <t xml:space="preserve">12 Oct – 16 Oct 2026</t>
  </si>
  <si>
    <t xml:space="preserve">Denah gudang terpetakan</t>
  </si>
  <si>
    <t xml:space="preserve">Seluruh rak, level, kapasitas, dan kebijakan alergen ter-import dan diverifikasi fisik</t>
  </si>
  <si>
    <t xml:space="preserve">BA/QA</t>
  </si>
  <si>
    <t xml:space="preserve">Belum</t>
  </si>
  <si>
    <t xml:space="preserve">19 Oct – 23 Oct 2026</t>
  </si>
  <si>
    <t xml:space="preserve">Zonasi alergen aktif</t>
  </si>
  <si>
    <t xml:space="preserve">Blokir keras penempatan salah teruji; stok existing sudah direlokasi sesuai zona</t>
  </si>
  <si>
    <t xml:space="preserve">Dev 1</t>
  </si>
  <si>
    <t xml:space="preserve">26 Oct – 30 Oct 2026</t>
  </si>
  <si>
    <t xml:space="preserve">Put-away terarah jalan</t>
  </si>
  <si>
    <t xml:space="preserve">Tugas put-away terbit otomatis saat QA release; operator menyelesaikan lewat scan</t>
  </si>
  <si>
    <t xml:space="preserve">02 Nov – 06 Nov 2026</t>
  </si>
  <si>
    <t xml:space="preserve">Pick list dari formula</t>
  </si>
  <si>
    <t xml:space="preserve">Picking list terbit proporsional dari formula dan terurut mengikuti jalur gudang</t>
  </si>
  <si>
    <t xml:space="preserve">Dev 2</t>
  </si>
  <si>
    <t xml:space="preserve">09 Nov – 13 Nov 2026</t>
  </si>
  <si>
    <t xml:space="preserve">Picking via scan + staging</t>
  </si>
  <si>
    <t xml:space="preserve">Konfirmasi pick lewat QR, penugasan staging eksklusif per lini</t>
  </si>
  <si>
    <t xml:space="preserve">16 Nov – 20 Nov 2026</t>
  </si>
  <si>
    <t xml:space="preserve">Konsol &amp; peta gudang</t>
  </si>
  <si>
    <t xml:space="preserve">Peta okupansi, dock-to-stock, kepatuhan put-away, papan staging tampil di desktop</t>
  </si>
  <si>
    <t xml:space="preserve">23 Nov – 27 Nov 2026</t>
  </si>
  <si>
    <t xml:space="preserve">UAT lulus</t>
  </si>
  <si>
    <t xml:space="preserve">Seluruh skenario UAT dieksekusi, 0 defect Critical/High terbuka</t>
  </si>
  <si>
    <t xml:space="preserve">30 Nov – 04 Dec 2026</t>
  </si>
  <si>
    <t xml:space="preserve">Go-live + hypercare</t>
  </si>
  <si>
    <t xml:space="preserve">Put-away dan picking berjalan penuh 5 hari kerja tanpa fallback manual</t>
  </si>
  <si>
    <t xml:space="preserve">Semua</t>
  </si>
  <si>
    <t xml:space="preserve">Rencana Kerja per Minggu</t>
  </si>
  <si>
    <t xml:space="preserve">Effort dalam mandays. Dev 1 fokus put-away &amp; zonasi, Dev 2 fokus picking &amp; staging.</t>
  </si>
  <si>
    <t xml:space="preserve">ID</t>
  </si>
  <si>
    <t xml:space="preserve">Workstream</t>
  </si>
  <si>
    <t xml:space="preserve">Tugas</t>
  </si>
  <si>
    <t xml:space="preserve">Deliverable</t>
  </si>
  <si>
    <t xml:space="preserve">Effort (md)</t>
  </si>
  <si>
    <t xml:space="preserve">Depends</t>
  </si>
  <si>
    <t xml:space="preserve">P01</t>
  </si>
  <si>
    <t xml:space="preserve">Data</t>
  </si>
  <si>
    <t xml:space="preserve">Survei fisik gudang: petakan rak, level, posisi, kapasitas berat</t>
  </si>
  <si>
    <t xml:space="preserve">Denah gudang</t>
  </si>
  <si>
    <t xml:space="preserve">P02</t>
  </si>
  <si>
    <t xml:space="preserve">Tetapkan kebijakan alergen per rak bersama QA Neofood</t>
  </si>
  <si>
    <t xml:space="preserve">Matriks zonasi</t>
  </si>
  <si>
    <t xml:space="preserve">P03</t>
  </si>
  <si>
    <t xml:space="preserve">Tentukan urutan jalur pick (pick_sequence) per lokasi</t>
  </si>
  <si>
    <t xml:space="preserve">Urutan jalur</t>
  </si>
  <si>
    <t xml:space="preserve">P04</t>
  </si>
  <si>
    <t xml:space="preserve">Lengkapi master item: berat per satuan, suhu simpan, zona preferensi</t>
  </si>
  <si>
    <t xml:space="preserve">Master diperbarui</t>
  </si>
  <si>
    <t xml:space="preserve">P05</t>
  </si>
  <si>
    <t xml:space="preserve">Database</t>
  </si>
  <si>
    <t xml:space="preserve">Jalankan neotrace_phase2_delta.sql di staging</t>
  </si>
  <si>
    <t xml:space="preserve">Skema Fase 2</t>
  </si>
  <si>
    <t xml:space="preserve">Tech Lead</t>
  </si>
  <si>
    <t xml:space="preserve">P06</t>
  </si>
  <si>
    <t xml:space="preserve">Import master lokasi &amp; atribut item</t>
  </si>
  <si>
    <t xml:space="preserve">Data ter-import</t>
  </si>
  <si>
    <t xml:space="preserve">P01,P04</t>
  </si>
  <si>
    <t xml:space="preserve">P07</t>
  </si>
  <si>
    <t xml:space="preserve">Uji fungsi suggest_putaway terhadap data nyata</t>
  </si>
  <si>
    <t xml:space="preserve">Hasil uji</t>
  </si>
  <si>
    <t xml:space="preserve">P08</t>
  </si>
  <si>
    <t xml:space="preserve">Backend</t>
  </si>
  <si>
    <t xml:space="preserve">Uji blokir keras zonasi alergen: policy &amp; aturan vertikal</t>
  </si>
  <si>
    <t xml:space="preserve">Skenario uji lolos</t>
  </si>
  <si>
    <t xml:space="preserve">P09</t>
  </si>
  <si>
    <t xml:space="preserve">Frontend</t>
  </si>
  <si>
    <t xml:space="preserve">Layar pemindahan stok dengan validasi zona real-time</t>
  </si>
  <si>
    <t xml:space="preserve">Layar transfer</t>
  </si>
  <si>
    <t xml:space="preserve">P10</t>
  </si>
  <si>
    <t xml:space="preserve">Audit stok existing terhadap aturan zonasi baru</t>
  </si>
  <si>
    <t xml:space="preserve">Daftar pelanggaran</t>
  </si>
  <si>
    <t xml:space="preserve">P11</t>
  </si>
  <si>
    <t xml:space="preserve">Proses</t>
  </si>
  <si>
    <t xml:space="preserve">Relokasi fisik stok yang melanggar zona</t>
  </si>
  <si>
    <t xml:space="preserve">Stok sesuai zona</t>
  </si>
  <si>
    <t xml:space="preserve">Supervisor Gudang</t>
  </si>
  <si>
    <t xml:space="preserve">P12</t>
  </si>
  <si>
    <t xml:space="preserve">Label rak fisik: cetak QR lokasi untuk scan tujuan</t>
  </si>
  <si>
    <t xml:space="preserve">Label lokasi</t>
  </si>
  <si>
    <t xml:space="preserve">P13</t>
  </si>
  <si>
    <t xml:space="preserve">API</t>
  </si>
  <si>
    <t xml:space="preserve">Modul API put-away &amp; zonasi</t>
  </si>
  <si>
    <t xml:space="preserve">api/putaway.ts</t>
  </si>
  <si>
    <t xml:space="preserve">P14</t>
  </si>
  <si>
    <t xml:space="preserve">Layar Tugas Put-away di HP: daftar tugas, saran lokasi</t>
  </si>
  <si>
    <t xml:space="preserve">Layar put-away</t>
  </si>
  <si>
    <t xml:space="preserve">P15</t>
  </si>
  <si>
    <t xml:space="preserve">Alur scan ganda: scan kemasan lalu scan lokasi tujuan</t>
  </si>
  <si>
    <t xml:space="preserve">Alur scan</t>
  </si>
  <si>
    <t xml:space="preserve">P12,P14</t>
  </si>
  <si>
    <t xml:space="preserve">P16</t>
  </si>
  <si>
    <t xml:space="preserve">Alur penyimpangan lokasi dengan alasan wajib</t>
  </si>
  <si>
    <t xml:space="preserve">Modul deviasi</t>
  </si>
  <si>
    <t xml:space="preserve">P17</t>
  </si>
  <si>
    <t xml:space="preserve">Terbitkan tugas put-away otomatis saat QA release lot</t>
  </si>
  <si>
    <t xml:space="preserve">Trigger aktif</t>
  </si>
  <si>
    <t xml:space="preserve">P18</t>
  </si>
  <si>
    <t xml:space="preserve">QA</t>
  </si>
  <si>
    <t xml:space="preserve">Skenario UAT put-away &amp; zonasi</t>
  </si>
  <si>
    <t xml:space="preserve">Skrip UAT bagian 1</t>
  </si>
  <si>
    <t xml:space="preserve">P19</t>
  </si>
  <si>
    <t xml:space="preserve">Pelatihan gudang gelombang 1 (put-away)</t>
  </si>
  <si>
    <t xml:space="preserve">Sesi latih</t>
  </si>
  <si>
    <t xml:space="preserve">P20</t>
  </si>
  <si>
    <t xml:space="preserve">Uji generate_pick_list_from_batch terhadap formula nyata</t>
  </si>
  <si>
    <t xml:space="preserve">P21</t>
  </si>
  <si>
    <t xml:space="preserve">Layar Pick List di HP: urut jalur, progres per baris</t>
  </si>
  <si>
    <t xml:space="preserve">Layar picking</t>
  </si>
  <si>
    <t xml:space="preserve">P22</t>
  </si>
  <si>
    <t xml:space="preserve">Konsol desktop: terbitkan &amp; tugaskan pick list ke petugas</t>
  </si>
  <si>
    <t xml:space="preserve">Layar penugasan</t>
  </si>
  <si>
    <t xml:space="preserve">P23</t>
  </si>
  <si>
    <t xml:space="preserve">Modul API picking &amp; staging</t>
  </si>
  <si>
    <t xml:space="preserve">api/picking.ts</t>
  </si>
  <si>
    <t xml:space="preserve">P24</t>
  </si>
  <si>
    <t xml:space="preserve">Validasi formula &amp; scrap percentage bersama produksi</t>
  </si>
  <si>
    <t xml:space="preserve">Formula terverifikasi</t>
  </si>
  <si>
    <t xml:space="preserve">P25</t>
  </si>
  <si>
    <t xml:space="preserve">Konfirmasi pick lewat scan QR + validasi item benar</t>
  </si>
  <si>
    <t xml:space="preserve">Alur konfirmasi</t>
  </si>
  <si>
    <t xml:space="preserve">P26</t>
  </si>
  <si>
    <t xml:space="preserve">Alur short pick &amp; override FEFO beralasan</t>
  </si>
  <si>
    <t xml:space="preserve">Modul pengecualian</t>
  </si>
  <si>
    <t xml:space="preserve">P27</t>
  </si>
  <si>
    <t xml:space="preserve">Layar Staging: tugaskan lokasi per batch, papan okupansi</t>
  </si>
  <si>
    <t xml:space="preserve">Layar staging</t>
  </si>
  <si>
    <t xml:space="preserve">P28</t>
  </si>
  <si>
    <t xml:space="preserve">Integrasi pick list ke konsumsi batch Fase 1</t>
  </si>
  <si>
    <t xml:space="preserve">Alur tersambung</t>
  </si>
  <si>
    <t xml:space="preserve">P29</t>
  </si>
  <si>
    <t xml:space="preserve">Skenario UAT picking &amp; staging</t>
  </si>
  <si>
    <t xml:space="preserve">Skrip UAT bagian 2</t>
  </si>
  <si>
    <t xml:space="preserve">P30</t>
  </si>
  <si>
    <t xml:space="preserve">Peta okupansi gudang di konsol desktop</t>
  </si>
  <si>
    <t xml:space="preserve">Peta gudang</t>
  </si>
  <si>
    <t xml:space="preserve">P31</t>
  </si>
  <si>
    <t xml:space="preserve">Dashboard dock-to-stock &amp; kepatuhan put-away</t>
  </si>
  <si>
    <t xml:space="preserve">Dashboard</t>
  </si>
  <si>
    <t xml:space="preserve">P32</t>
  </si>
  <si>
    <t xml:space="preserve">Dashboard kinerja picking per petugas &amp; per batch</t>
  </si>
  <si>
    <t xml:space="preserve">P33</t>
  </si>
  <si>
    <t xml:space="preserve">Dev</t>
  </si>
  <si>
    <t xml:space="preserve">Optimasi performa: index &amp; query peta gudang</t>
  </si>
  <si>
    <t xml:space="preserve">Hasil profiling</t>
  </si>
  <si>
    <t xml:space="preserve">P34</t>
  </si>
  <si>
    <t xml:space="preserve">Pelatihan gelombang 2 (picking &amp; staging)</t>
  </si>
  <si>
    <t xml:space="preserve">P35</t>
  </si>
  <si>
    <t xml:space="preserve">Eksekusi UAT bersama pengguna Neofood</t>
  </si>
  <si>
    <t xml:space="preserve">Hasil UAT</t>
  </si>
  <si>
    <t xml:space="preserve">P36</t>
  </si>
  <si>
    <t xml:space="preserve">Perbaikan defect UAT (Critical &amp; High)</t>
  </si>
  <si>
    <t xml:space="preserve">Defect ditutup</t>
  </si>
  <si>
    <t xml:space="preserve">P37</t>
  </si>
  <si>
    <t xml:space="preserve">P38</t>
  </si>
  <si>
    <t xml:space="preserve">Deploy produksi + uji beban put-away massal</t>
  </si>
  <si>
    <t xml:space="preserve">Lingkungan produksi</t>
  </si>
  <si>
    <t xml:space="preserve">P39</t>
  </si>
  <si>
    <t xml:space="preserve">Sign-off go-live readiness</t>
  </si>
  <si>
    <t xml:space="preserve">Berita acara</t>
  </si>
  <si>
    <t xml:space="preserve">P40</t>
  </si>
  <si>
    <t xml:space="preserve">Cutover: aktifkan put-away terarah &amp; picking</t>
  </si>
  <si>
    <t xml:space="preserve">Sistem live</t>
  </si>
  <si>
    <t xml:space="preserve">P41</t>
  </si>
  <si>
    <t xml:space="preserve">Hypercare</t>
  </si>
  <si>
    <t xml:space="preserve">Pendampingan lantai gudang harian</t>
  </si>
  <si>
    <t xml:space="preserve">Log isu</t>
  </si>
  <si>
    <t xml:space="preserve">P42</t>
  </si>
  <si>
    <t xml:space="preserve">Pendampingan lantai produksi (picking &amp; staging)</t>
  </si>
  <si>
    <t xml:space="preserve">P43</t>
  </si>
  <si>
    <t xml:space="preserve">Review pasca go-live + backlog Fase 3</t>
  </si>
  <si>
    <t xml:space="preserve">Laporan penutup</t>
  </si>
  <si>
    <t xml:space="preserve">TOTAL EFFORT</t>
  </si>
  <si>
    <t xml:space="preserve">Beban Kerja per Minggu</t>
  </si>
  <si>
    <t xml:space="preserve">Kapasitas 5 md per orang per minggu. Angka di atas 5 berarti overload.</t>
  </si>
  <si>
    <t xml:space="preserve">Total (md)</t>
  </si>
  <si>
    <t xml:space="preserve">Total</t>
  </si>
  <si>
    <t xml:space="preserve">Tugas ber-PIC 'Semua' dan 'Supervisor Gudang' tidak masuk kolom individu di atas tetapi terhitung pada total sheet Rencana Kerja.</t>
  </si>
  <si>
    <t xml:space="preserve">Matriks RACI — Fase 2</t>
  </si>
  <si>
    <t xml:space="preserve">R Responsible · A Accountable · C Consulted · I Informed</t>
  </si>
  <si>
    <t xml:space="preserve">Aktivitas</t>
  </si>
  <si>
    <t xml:space="preserve">PO Neofood</t>
  </si>
  <si>
    <t xml:space="preserve">QA Neofood</t>
  </si>
  <si>
    <t xml:space="preserve">Produksi</t>
  </si>
  <si>
    <t xml:space="preserve">Survei &amp; pemetaan denah gudang</t>
  </si>
  <si>
    <t xml:space="preserve">I</t>
  </si>
  <si>
    <t xml:space="preserve">R</t>
  </si>
  <si>
    <t xml:space="preserve">A</t>
  </si>
  <si>
    <t xml:space="preserve">C</t>
  </si>
  <si>
    <t xml:space="preserve">Penetapan kebijakan zonasi alergen</t>
  </si>
  <si>
    <t xml:space="preserve">A/R</t>
  </si>
  <si>
    <t xml:space="preserve">Penetapan urutan jalur pick</t>
  </si>
  <si>
    <t xml:space="preserve">Pengembangan put-away &amp; zonasi</t>
  </si>
  <si>
    <t xml:space="preserve">Pengembangan pick list &amp; staging</t>
  </si>
  <si>
    <t xml:space="preserve">Validasi formula &amp; scrap percentage</t>
  </si>
  <si>
    <t xml:space="preserve">A/C</t>
  </si>
  <si>
    <t xml:space="preserve">Penyusunan &amp; eksekusi UAT</t>
  </si>
  <si>
    <t xml:space="preserve">Pelatihan pengguna gudang &amp; produksi</t>
  </si>
  <si>
    <t xml:space="preserve">Keputusan go / no-go</t>
  </si>
  <si>
    <t xml:space="preserve">Hypercare &amp; penanganan isu</t>
  </si>
  <si>
    <t xml:space="preserve">RAID Log — Fase 2</t>
  </si>
  <si>
    <t xml:space="preserve">R Risiko · A Asumsi · I Isu · D Dependensi. Ditinjau setiap Jumat.</t>
  </si>
  <si>
    <t xml:space="preserve">Tipe</t>
  </si>
  <si>
    <t xml:space="preserve">Uraian</t>
  </si>
  <si>
    <t xml:space="preserve">Dampak</t>
  </si>
  <si>
    <t xml:space="preserve">Prob.</t>
  </si>
  <si>
    <t xml:space="preserve">Mitigasi / tindakan</t>
  </si>
  <si>
    <t xml:space="preserve">Owner</t>
  </si>
  <si>
    <t xml:space="preserve">Due</t>
  </si>
  <si>
    <t xml:space="preserve">R11</t>
  </si>
  <si>
    <t xml:space="preserve">Risiko</t>
  </si>
  <si>
    <t xml:space="preserve">Blokir keras zonasi alergen menghentikan put-away bila denah rak belum akurat</t>
  </si>
  <si>
    <t xml:space="preserve">Tinggi</t>
  </si>
  <si>
    <t xml:space="preserve">Jalankan mode audit dulu (P10) sebelum trigger diaktifkan di produksi; perbaiki data sampai 0 pelanggaran</t>
  </si>
  <si>
    <t xml:space="preserve">M2</t>
  </si>
  <si>
    <t xml:space="preserve">R12</t>
  </si>
  <si>
    <t xml:space="preserve">Relokasi fisik stok existing memakan waktu dan mengganggu operasi harian</t>
  </si>
  <si>
    <t xml:space="preserve">Sedang</t>
  </si>
  <si>
    <t xml:space="preserve">Jadwalkan bertahap per rak di luar jam sibuk; siapkan lokasi transit sementara</t>
  </si>
  <si>
    <t xml:space="preserve">R13</t>
  </si>
  <si>
    <t xml:space="preserve">Urutan jalur pick tidak mencerminkan tata letak nyata sehingga picking justru lebih lambat</t>
  </si>
  <si>
    <t xml:space="preserve">Validasi bersama petugas gudang berpengalaman; ukur waktu pick sebelum dan sesudah</t>
  </si>
  <si>
    <t xml:space="preserve">M4</t>
  </si>
  <si>
    <t xml:space="preserve">R14</t>
  </si>
  <si>
    <t xml:space="preserve">Formula di sistem berbeda dari praktik nyata di lini masak</t>
  </si>
  <si>
    <t xml:space="preserve">Validasi formula &amp; scrap bersama produksi (P24) sebelum pick list dipakai</t>
  </si>
  <si>
    <t xml:space="preserve">R15</t>
  </si>
  <si>
    <t xml:space="preserve">Label QR lokasi rusak di area basah, alur scan ganda gagal</t>
  </si>
  <si>
    <t xml:space="preserve">Gunakan label sintetis; sediakan input kode lokasi manual sebagai cadangan</t>
  </si>
  <si>
    <t xml:space="preserve">M3</t>
  </si>
  <si>
    <t xml:space="preserve">R16</t>
  </si>
  <si>
    <t xml:space="preserve">Petugas menumpuk bahan di staging tanpa penugasan, bahan antar lini tertukar</t>
  </si>
  <si>
    <t xml:space="preserve">Indeks eksklusif satu lokasi satu batch; papan staging ditampilkan di layar area produksi</t>
  </si>
  <si>
    <t xml:space="preserve">M5</t>
  </si>
  <si>
    <t xml:space="preserve">A11</t>
  </si>
  <si>
    <t xml:space="preserve">Asumsi</t>
  </si>
  <si>
    <t xml:space="preserve">Fase 1 sudah stabil dan tidak lagi menyita waktu tim saat Fase 2 dimulai</t>
  </si>
  <si>
    <t xml:space="preserve">-</t>
  </si>
  <si>
    <t xml:space="preserve">Jeda 10 hari kerja setelah go-live Fase 1; bila masih ada isu terbuka, Fase 2 ditunda</t>
  </si>
  <si>
    <t xml:space="preserve">M1</t>
  </si>
  <si>
    <t xml:space="preserve">A12</t>
  </si>
  <si>
    <t xml:space="preserve">Kebijakan zonasi alergen berasal dari HACCP plan Neofood, bukan asumsi konsultan</t>
  </si>
  <si>
    <t xml:space="preserve">Belum diverifikasi. Wajib konfirmasi tertulis QA Neofood sebelum dikunci</t>
  </si>
  <si>
    <t xml:space="preserve">A13</t>
  </si>
  <si>
    <t xml:space="preserve">Setiap rak punya kapasitas berat yang diketahui atau bisa diestimasi</t>
  </si>
  <si>
    <t xml:space="preserve">Bila tidak ada data, kosongkan max_weight_kg agar tidak memblokir; batasi lewat max_hu_count</t>
  </si>
  <si>
    <t xml:space="preserve">I11</t>
  </si>
  <si>
    <t xml:space="preserve">Isu</t>
  </si>
  <si>
    <t xml:space="preserve">Belum ada label QR untuk lokasi rak</t>
  </si>
  <si>
    <t xml:space="preserve">Masuk P12. Bila tertunda, alur scan ganda mundur dan M3 terdampak</t>
  </si>
  <si>
    <t xml:space="preserve">I12</t>
  </si>
  <si>
    <t xml:space="preserve">Sebagian rak di Sauce Division belum bernomor fisik</t>
  </si>
  <si>
    <t xml:space="preserve">Penomoran fisik harus selesai sebelum survei P01 ditutup</t>
  </si>
  <si>
    <t xml:space="preserve">D11</t>
  </si>
  <si>
    <t xml:space="preserve">Dependensi</t>
  </si>
  <si>
    <t xml:space="preserve">Waktu supervisor gudang 50% untuk survei, relokasi, dan validasi jalur</t>
  </si>
  <si>
    <t xml:space="preserve">Dikonfirmasi saat kickoff Fase 2</t>
  </si>
  <si>
    <t xml:space="preserve">D12</t>
  </si>
  <si>
    <t xml:space="preserve">Akses tim ke area produksi saat jam kerja untuk uji alur picking</t>
  </si>
  <si>
    <t xml:space="preserve">Jadwalkan bersama supervisor produksi</t>
  </si>
  <si>
    <t xml:space="preserve">D13</t>
  </si>
  <si>
    <t xml:space="preserve">Formula lengkap seluruh SKU aktif tersedia di sistem</t>
  </si>
  <si>
    <t xml:space="preserve">Bila formula belum lengkap, pick list hanya bisa untuk SKU yang sudah ada</t>
  </si>
  <si>
    <t xml:space="preserve">Kriteria Go-Live Fase 2</t>
  </si>
  <si>
    <t xml:space="preserve">Semua baris wajib Ya sebelum cutover.</t>
  </si>
  <si>
    <t xml:space="preserve">No</t>
  </si>
  <si>
    <t xml:space="preserve">Kriteria</t>
  </si>
  <si>
    <t xml:space="preserve">Bukti</t>
  </si>
  <si>
    <t xml:space="preserve">Penanggung jawab</t>
  </si>
  <si>
    <t xml:space="preserve">Terpenuhi</t>
  </si>
  <si>
    <t xml:space="preserve">Defect log + skrip UAT</t>
  </si>
  <si>
    <t xml:space="preserve">0 pelanggaran zonasi alergen pada stok existing</t>
  </si>
  <si>
    <t xml:space="preserve">Laporan audit zonasi</t>
  </si>
  <si>
    <t xml:space="preserve">Kebijakan zonasi dikonfirmasi tertulis dari HACCP plan Neofood</t>
  </si>
  <si>
    <t xml:space="preserve">Dokumen HACCP</t>
  </si>
  <si>
    <t xml:space="preserve">Seluruh rak punya penomoran fisik dan label QR lokasi</t>
  </si>
  <si>
    <t xml:space="preserve">Cek lapangan</t>
  </si>
  <si>
    <t xml:space="preserve">Dock-to-stock rata-rata di bawah 4 jam pada uji coba</t>
  </si>
  <si>
    <t xml:space="preserve">Laporan v_dock_to_stock</t>
  </si>
  <si>
    <t xml:space="preserve">Pick list untuk 3 SKU teratas cocok dengan pengambilan manual</t>
  </si>
  <si>
    <t xml:space="preserve">Uji paralel</t>
  </si>
  <si>
    <t xml:space="preserve">Waktu picking tidak lebih lambat dari cara manual</t>
  </si>
  <si>
    <t xml:space="preserve">Pengukuran sebelum/sesudah</t>
  </si>
  <si>
    <t xml:space="preserve">Formula seluruh SKU aktif terverifikasi produksi</t>
  </si>
  <si>
    <t xml:space="preserve">Berita acara verifikasi</t>
  </si>
  <si>
    <t xml:space="preserve">Seluruh petugas gudang shift 1 dan 2 sudah dilatih</t>
  </si>
  <si>
    <t xml:space="preserve">Daftar hadir</t>
  </si>
  <si>
    <t xml:space="preserve">Prosedur fallback bila blokir zonasi menghambat produksi disepakati</t>
  </si>
  <si>
    <t xml:space="preserve">Prosedur tertulis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</si>
</sst>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A20"/>
      <name val="Arial"/>
      <family val="0"/>
      <charset val="1"/>
    </font>
    <font>
      <sz val="9"/>
      <color rgb="FF6A7F76"/>
      <name val="Arial"/>
      <family val="0"/>
      <charset val="1"/>
    </font>
    <font>
      <b val="true"/>
      <sz val="9"/>
      <color rgb="FF0E2A2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E2A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A7F76"/>
      <name val="Arial"/>
      <family val="0"/>
      <charset val="1"/>
    </font>
    <font>
      <b val="true"/>
      <sz val="9"/>
      <color rgb="FFC13A22"/>
      <name val="Arial"/>
      <family val="0"/>
      <charset val="1"/>
    </font>
    <font>
      <sz val="9"/>
      <color rgb="FFD0870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EF3F0"/>
        <bgColor rgb="FFF1F6F3"/>
      </patternFill>
    </fill>
    <fill>
      <patternFill patternType="solid">
        <fgColor rgb="FF1B7A4B"/>
        <bgColor rgb="FF008080"/>
      </patternFill>
    </fill>
    <fill>
      <patternFill patternType="solid">
        <fgColor rgb="FFF7FAF8"/>
        <bgColor rgb="FFF1F6F3"/>
      </patternFill>
    </fill>
    <fill>
      <patternFill patternType="solid">
        <fgColor rgb="FFD9EAE0"/>
        <bgColor rgb="FFCFDAD4"/>
      </patternFill>
    </fill>
    <fill>
      <patternFill patternType="solid">
        <fgColor rgb="FFFDF3F1"/>
        <bgColor rgb="FFFFF9EC"/>
      </patternFill>
    </fill>
    <fill>
      <patternFill patternType="solid">
        <fgColor rgb="FFFFF9EC"/>
        <bgColor rgb="FFFDF3F1"/>
      </patternFill>
    </fill>
    <fill>
      <patternFill patternType="solid">
        <fgColor rgb="FFFDECEA"/>
        <bgColor rgb="FFFDF3F1"/>
      </patternFill>
    </fill>
    <fill>
      <patternFill patternType="solid">
        <fgColor rgb="FFF1F6F3"/>
        <bgColor rgb="FFEEF3F0"/>
      </patternFill>
    </fill>
    <fill>
      <patternFill patternType="solid">
        <fgColor rgb="FFFFFFCC"/>
        <bgColor rgb="FFFFF9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AD4"/>
      </left>
      <right style="thin">
        <color rgb="FFCFDAD4"/>
      </right>
      <top style="thin">
        <color rgb="FFCFDAD4"/>
      </top>
      <bottom style="thin">
        <color rgb="FFCFDAD4"/>
      </bottom>
      <diagonal/>
    </border>
    <border diagonalUp="false" diagonalDown="false">
      <left style="thin">
        <color rgb="FFCFDAD4"/>
      </left>
      <right/>
      <top style="thin">
        <color rgb="FFCFDAD4"/>
      </top>
      <bottom style="thin">
        <color rgb="FFCFDA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7A4B"/>
          <bgColor rgb="FF000000"/>
        </patternFill>
      </fill>
    </dxf>
    <dxf>
      <fill>
        <patternFill patternType="solid">
          <fgColor rgb="FFF7F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B"/>
      <rgbColor rgb="FFFDF3F1"/>
      <rgbColor rgb="FF6A7F76"/>
      <rgbColor rgb="FF9999FF"/>
      <rgbColor rgb="FF993366"/>
      <rgbColor rgb="FFFFFFCC"/>
      <rgbColor rgb="FFEEF3F0"/>
      <rgbColor rgb="FF660066"/>
      <rgbColor rgb="FFFF8080"/>
      <rgbColor rgb="FF0066CC"/>
      <rgbColor rgb="FFCFDA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3"/>
      <rgbColor rgb="FFD9EAE0"/>
      <rgbColor rgb="FFFFF9EC"/>
      <rgbColor rgb="FFF7FAF8"/>
      <rgbColor rgb="FFFF99CC"/>
      <rgbColor rgb="FFCC99FF"/>
      <rgbColor rgb="FFFDECEA"/>
      <rgbColor rgb="FF3366FF"/>
      <rgbColor rgb="FF33CCCC"/>
      <rgbColor rgb="FF99CC00"/>
      <rgbColor rgb="FFFFCC00"/>
      <rgbColor rgb="FFD0870A"/>
      <rgbColor rgb="FFFF6600"/>
      <rgbColor rgb="FF666699"/>
      <rgbColor rgb="FF969696"/>
      <rgbColor rgb="FF003366"/>
      <rgbColor rgb="FF339966"/>
      <rgbColor rgb="FF0E2A20"/>
      <rgbColor rgb="FF333300"/>
      <rgbColor rgb="FFC13A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25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25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25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36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36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36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36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36" hidden="false" customHeight="tru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4" customFormat="false" ht="15" hidden="false" customHeight="false" outlineLevel="0" collapsed="false">
      <c r="A14" s="5" t="s">
        <v>20</v>
      </c>
    </row>
    <row r="15" customFormat="false" ht="30" hidden="false" customHeight="true" outlineLevel="0" collapsed="false">
      <c r="A15" s="6" t="s">
        <v>21</v>
      </c>
      <c r="B15" s="6" t="s">
        <v>22</v>
      </c>
      <c r="C15" s="6" t="s">
        <v>20</v>
      </c>
      <c r="D15" s="6" t="s">
        <v>23</v>
      </c>
      <c r="E15" s="6" t="s">
        <v>24</v>
      </c>
      <c r="F15" s="6" t="s">
        <v>25</v>
      </c>
    </row>
    <row r="16" customFormat="false" ht="30" hidden="false" customHeight="true" outlineLevel="0" collapsed="false">
      <c r="A16" s="7" t="n">
        <v>1</v>
      </c>
      <c r="B16" s="7" t="s">
        <v>26</v>
      </c>
      <c r="C16" s="8" t="s">
        <v>27</v>
      </c>
      <c r="D16" s="7" t="s">
        <v>28</v>
      </c>
      <c r="E16" s="7" t="s">
        <v>29</v>
      </c>
      <c r="F16" s="7" t="s">
        <v>30</v>
      </c>
    </row>
    <row r="17" customFormat="false" ht="30" hidden="false" customHeight="true" outlineLevel="0" collapsed="false">
      <c r="A17" s="7" t="n">
        <v>2</v>
      </c>
      <c r="B17" s="7" t="s">
        <v>31</v>
      </c>
      <c r="C17" s="8" t="s">
        <v>32</v>
      </c>
      <c r="D17" s="7" t="s">
        <v>33</v>
      </c>
      <c r="E17" s="7" t="s">
        <v>34</v>
      </c>
      <c r="F17" s="7" t="s">
        <v>30</v>
      </c>
    </row>
    <row r="18" customFormat="false" ht="30" hidden="false" customHeight="true" outlineLevel="0" collapsed="false">
      <c r="A18" s="7" t="n">
        <v>3</v>
      </c>
      <c r="B18" s="7" t="s">
        <v>35</v>
      </c>
      <c r="C18" s="8" t="s">
        <v>36</v>
      </c>
      <c r="D18" s="7" t="s">
        <v>37</v>
      </c>
      <c r="E18" s="7" t="s">
        <v>34</v>
      </c>
      <c r="F18" s="7" t="s">
        <v>30</v>
      </c>
    </row>
    <row r="19" customFormat="false" ht="30" hidden="false" customHeight="true" outlineLevel="0" collapsed="false">
      <c r="A19" s="7" t="n">
        <v>4</v>
      </c>
      <c r="B19" s="7" t="s">
        <v>38</v>
      </c>
      <c r="C19" s="8" t="s">
        <v>39</v>
      </c>
      <c r="D19" s="7" t="s">
        <v>40</v>
      </c>
      <c r="E19" s="7" t="s">
        <v>41</v>
      </c>
      <c r="F19" s="7" t="s">
        <v>30</v>
      </c>
    </row>
    <row r="20" customFormat="false" ht="30" hidden="false" customHeight="true" outlineLevel="0" collapsed="false">
      <c r="A20" s="7" t="n">
        <v>5</v>
      </c>
      <c r="B20" s="7" t="s">
        <v>42</v>
      </c>
      <c r="C20" s="8" t="s">
        <v>43</v>
      </c>
      <c r="D20" s="7" t="s">
        <v>44</v>
      </c>
      <c r="E20" s="7" t="s">
        <v>41</v>
      </c>
      <c r="F20" s="7" t="s">
        <v>30</v>
      </c>
    </row>
    <row r="21" customFormat="false" ht="30" hidden="false" customHeight="true" outlineLevel="0" collapsed="false">
      <c r="A21" s="7" t="n">
        <v>6</v>
      </c>
      <c r="B21" s="7" t="s">
        <v>45</v>
      </c>
      <c r="C21" s="8" t="s">
        <v>46</v>
      </c>
      <c r="D21" s="7" t="s">
        <v>47</v>
      </c>
      <c r="E21" s="7" t="s">
        <v>34</v>
      </c>
      <c r="F21" s="7" t="s">
        <v>30</v>
      </c>
    </row>
    <row r="22" customFormat="false" ht="30" hidden="false" customHeight="true" outlineLevel="0" collapsed="false">
      <c r="A22" s="7" t="n">
        <v>7</v>
      </c>
      <c r="B22" s="7" t="s">
        <v>48</v>
      </c>
      <c r="C22" s="8" t="s">
        <v>49</v>
      </c>
      <c r="D22" s="7" t="s">
        <v>50</v>
      </c>
      <c r="E22" s="7" t="s">
        <v>29</v>
      </c>
      <c r="F22" s="7" t="s">
        <v>30</v>
      </c>
    </row>
    <row r="23" customFormat="false" ht="30" hidden="false" customHeight="true" outlineLevel="0" collapsed="false">
      <c r="A23" s="7" t="n">
        <v>8</v>
      </c>
      <c r="B23" s="7" t="s">
        <v>51</v>
      </c>
      <c r="C23" s="8" t="s">
        <v>52</v>
      </c>
      <c r="D23" s="7" t="s">
        <v>53</v>
      </c>
      <c r="E23" s="7" t="s">
        <v>54</v>
      </c>
      <c r="F23" s="7" t="s">
        <v>30</v>
      </c>
    </row>
  </sheetData>
  <mergeCells count="1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9" min="7" style="0" width="11"/>
  </cols>
  <sheetData>
    <row r="1" customFormat="false" ht="19.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6" t="s">
        <v>57</v>
      </c>
      <c r="B4" s="6" t="s">
        <v>21</v>
      </c>
      <c r="C4" s="6" t="s">
        <v>58</v>
      </c>
      <c r="D4" s="6" t="s">
        <v>59</v>
      </c>
      <c r="E4" s="6" t="s">
        <v>60</v>
      </c>
      <c r="F4" s="6" t="s">
        <v>24</v>
      </c>
      <c r="G4" s="6" t="s">
        <v>61</v>
      </c>
      <c r="H4" s="6" t="s">
        <v>62</v>
      </c>
      <c r="I4" s="6" t="s">
        <v>25</v>
      </c>
    </row>
    <row r="5" customFormat="false" ht="24" hidden="false" customHeight="true" outlineLevel="0" collapsed="false">
      <c r="A5" s="9" t="s">
        <v>63</v>
      </c>
      <c r="B5" s="9" t="n">
        <v>1</v>
      </c>
      <c r="C5" s="10" t="s">
        <v>64</v>
      </c>
      <c r="D5" s="10" t="s">
        <v>65</v>
      </c>
      <c r="E5" s="10" t="s">
        <v>66</v>
      </c>
      <c r="F5" s="10" t="s">
        <v>29</v>
      </c>
      <c r="G5" s="11" t="n">
        <v>2.5</v>
      </c>
      <c r="H5" s="9"/>
      <c r="I5" s="9"/>
    </row>
    <row r="6" customFormat="false" ht="24" hidden="false" customHeight="true" outlineLevel="0" collapsed="false">
      <c r="A6" s="9" t="s">
        <v>67</v>
      </c>
      <c r="B6" s="9" t="n">
        <v>1</v>
      </c>
      <c r="C6" s="10" t="s">
        <v>64</v>
      </c>
      <c r="D6" s="10" t="s">
        <v>68</v>
      </c>
      <c r="E6" s="10" t="s">
        <v>69</v>
      </c>
      <c r="F6" s="10" t="s">
        <v>29</v>
      </c>
      <c r="G6" s="11" t="n">
        <v>1.5</v>
      </c>
      <c r="H6" s="9" t="s">
        <v>63</v>
      </c>
      <c r="I6" s="9"/>
    </row>
    <row r="7" customFormat="false" ht="24" hidden="false" customHeight="true" outlineLevel="0" collapsed="false">
      <c r="A7" s="9" t="s">
        <v>70</v>
      </c>
      <c r="B7" s="9" t="n">
        <v>1</v>
      </c>
      <c r="C7" s="10" t="s">
        <v>64</v>
      </c>
      <c r="D7" s="10" t="s">
        <v>71</v>
      </c>
      <c r="E7" s="10" t="s">
        <v>72</v>
      </c>
      <c r="F7" s="10" t="s">
        <v>29</v>
      </c>
      <c r="G7" s="11" t="n">
        <v>1</v>
      </c>
      <c r="H7" s="9" t="s">
        <v>63</v>
      </c>
      <c r="I7" s="9"/>
    </row>
    <row r="8" customFormat="false" ht="24" hidden="false" customHeight="true" outlineLevel="0" collapsed="false">
      <c r="A8" s="9" t="s">
        <v>73</v>
      </c>
      <c r="B8" s="9" t="n">
        <v>1</v>
      </c>
      <c r="C8" s="10" t="s">
        <v>64</v>
      </c>
      <c r="D8" s="10" t="s">
        <v>74</v>
      </c>
      <c r="E8" s="10" t="s">
        <v>75</v>
      </c>
      <c r="F8" s="10" t="s">
        <v>29</v>
      </c>
      <c r="G8" s="11" t="n">
        <v>1.5</v>
      </c>
      <c r="H8" s="9"/>
      <c r="I8" s="9"/>
    </row>
    <row r="9" customFormat="false" ht="24" hidden="false" customHeight="true" outlineLevel="0" collapsed="false">
      <c r="A9" s="9" t="s">
        <v>76</v>
      </c>
      <c r="B9" s="9" t="n">
        <v>1</v>
      </c>
      <c r="C9" s="10" t="s">
        <v>77</v>
      </c>
      <c r="D9" s="10" t="s">
        <v>78</v>
      </c>
      <c r="E9" s="10" t="s">
        <v>79</v>
      </c>
      <c r="F9" s="10" t="s">
        <v>80</v>
      </c>
      <c r="G9" s="11" t="n">
        <v>0.5</v>
      </c>
      <c r="H9" s="9"/>
      <c r="I9" s="9"/>
    </row>
    <row r="10" customFormat="false" ht="24" hidden="false" customHeight="true" outlineLevel="0" collapsed="false">
      <c r="A10" s="9" t="s">
        <v>81</v>
      </c>
      <c r="B10" s="9" t="n">
        <v>1</v>
      </c>
      <c r="C10" s="10" t="s">
        <v>77</v>
      </c>
      <c r="D10" s="10" t="s">
        <v>82</v>
      </c>
      <c r="E10" s="10" t="s">
        <v>83</v>
      </c>
      <c r="F10" s="10" t="s">
        <v>80</v>
      </c>
      <c r="G10" s="11" t="n">
        <v>1</v>
      </c>
      <c r="H10" s="9" t="s">
        <v>84</v>
      </c>
      <c r="I10" s="9"/>
    </row>
    <row r="11" customFormat="false" ht="24" hidden="false" customHeight="true" outlineLevel="0" collapsed="false">
      <c r="A11" s="9" t="s">
        <v>85</v>
      </c>
      <c r="B11" s="9" t="n">
        <v>1</v>
      </c>
      <c r="C11" s="10" t="s">
        <v>77</v>
      </c>
      <c r="D11" s="10" t="s">
        <v>86</v>
      </c>
      <c r="E11" s="10" t="s">
        <v>87</v>
      </c>
      <c r="F11" s="10" t="s">
        <v>80</v>
      </c>
      <c r="G11" s="11" t="n">
        <v>1</v>
      </c>
      <c r="H11" s="9" t="s">
        <v>81</v>
      </c>
      <c r="I11" s="9"/>
    </row>
    <row r="12" customFormat="false" ht="24" hidden="false" customHeight="true" outlineLevel="0" collapsed="false">
      <c r="A12" s="12" t="s">
        <v>88</v>
      </c>
      <c r="B12" s="12" t="n">
        <v>2</v>
      </c>
      <c r="C12" s="13" t="s">
        <v>89</v>
      </c>
      <c r="D12" s="13" t="s">
        <v>90</v>
      </c>
      <c r="E12" s="13" t="s">
        <v>91</v>
      </c>
      <c r="F12" s="13" t="s">
        <v>34</v>
      </c>
      <c r="G12" s="14" t="n">
        <v>1.5</v>
      </c>
      <c r="H12" s="12" t="s">
        <v>76</v>
      </c>
      <c r="I12" s="12"/>
    </row>
    <row r="13" customFormat="false" ht="24" hidden="false" customHeight="true" outlineLevel="0" collapsed="false">
      <c r="A13" s="12" t="s">
        <v>92</v>
      </c>
      <c r="B13" s="12" t="n">
        <v>2</v>
      </c>
      <c r="C13" s="13" t="s">
        <v>93</v>
      </c>
      <c r="D13" s="13" t="s">
        <v>94</v>
      </c>
      <c r="E13" s="13" t="s">
        <v>95</v>
      </c>
      <c r="F13" s="13" t="s">
        <v>34</v>
      </c>
      <c r="G13" s="14" t="n">
        <v>2.5</v>
      </c>
      <c r="H13" s="12" t="s">
        <v>88</v>
      </c>
      <c r="I13" s="12"/>
    </row>
    <row r="14" customFormat="false" ht="24" hidden="false" customHeight="true" outlineLevel="0" collapsed="false">
      <c r="A14" s="12" t="s">
        <v>96</v>
      </c>
      <c r="B14" s="12" t="n">
        <v>2</v>
      </c>
      <c r="C14" s="13" t="s">
        <v>64</v>
      </c>
      <c r="D14" s="13" t="s">
        <v>97</v>
      </c>
      <c r="E14" s="13" t="s">
        <v>98</v>
      </c>
      <c r="F14" s="13" t="s">
        <v>29</v>
      </c>
      <c r="G14" s="14" t="n">
        <v>1.5</v>
      </c>
      <c r="H14" s="12" t="s">
        <v>85</v>
      </c>
      <c r="I14" s="12"/>
    </row>
    <row r="15" customFormat="false" ht="24" hidden="false" customHeight="true" outlineLevel="0" collapsed="false">
      <c r="A15" s="12" t="s">
        <v>99</v>
      </c>
      <c r="B15" s="12" t="n">
        <v>2</v>
      </c>
      <c r="C15" s="13" t="s">
        <v>100</v>
      </c>
      <c r="D15" s="13" t="s">
        <v>101</v>
      </c>
      <c r="E15" s="13" t="s">
        <v>102</v>
      </c>
      <c r="F15" s="13" t="s">
        <v>103</v>
      </c>
      <c r="G15" s="14" t="n">
        <v>2</v>
      </c>
      <c r="H15" s="12" t="s">
        <v>96</v>
      </c>
      <c r="I15" s="12"/>
    </row>
    <row r="16" customFormat="false" ht="24" hidden="false" customHeight="true" outlineLevel="0" collapsed="false">
      <c r="A16" s="12" t="s">
        <v>104</v>
      </c>
      <c r="B16" s="12" t="n">
        <v>2</v>
      </c>
      <c r="C16" s="13" t="s">
        <v>93</v>
      </c>
      <c r="D16" s="13" t="s">
        <v>105</v>
      </c>
      <c r="E16" s="13" t="s">
        <v>106</v>
      </c>
      <c r="F16" s="13" t="s">
        <v>41</v>
      </c>
      <c r="G16" s="14" t="n">
        <v>1.5</v>
      </c>
      <c r="H16" s="12" t="s">
        <v>63</v>
      </c>
      <c r="I16" s="12"/>
    </row>
    <row r="17" customFormat="false" ht="24" hidden="false" customHeight="true" outlineLevel="0" collapsed="false">
      <c r="A17" s="12" t="s">
        <v>107</v>
      </c>
      <c r="B17" s="12" t="n">
        <v>2</v>
      </c>
      <c r="C17" s="13" t="s">
        <v>108</v>
      </c>
      <c r="D17" s="13" t="s">
        <v>109</v>
      </c>
      <c r="E17" s="13" t="s">
        <v>110</v>
      </c>
      <c r="F17" s="13" t="s">
        <v>41</v>
      </c>
      <c r="G17" s="14" t="n">
        <v>1.5</v>
      </c>
      <c r="H17" s="12" t="s">
        <v>76</v>
      </c>
      <c r="I17" s="12"/>
    </row>
    <row r="18" customFormat="false" ht="24" hidden="false" customHeight="true" outlineLevel="0" collapsed="false">
      <c r="A18" s="9" t="s">
        <v>111</v>
      </c>
      <c r="B18" s="9" t="n">
        <v>3</v>
      </c>
      <c r="C18" s="10" t="s">
        <v>93</v>
      </c>
      <c r="D18" s="10" t="s">
        <v>112</v>
      </c>
      <c r="E18" s="10" t="s">
        <v>113</v>
      </c>
      <c r="F18" s="10" t="s">
        <v>34</v>
      </c>
      <c r="G18" s="11" t="n">
        <v>2.5</v>
      </c>
      <c r="H18" s="9" t="s">
        <v>107</v>
      </c>
      <c r="I18" s="9"/>
    </row>
    <row r="19" customFormat="false" ht="24" hidden="false" customHeight="true" outlineLevel="0" collapsed="false">
      <c r="A19" s="9" t="s">
        <v>114</v>
      </c>
      <c r="B19" s="9" t="n">
        <v>3</v>
      </c>
      <c r="C19" s="10" t="s">
        <v>93</v>
      </c>
      <c r="D19" s="10" t="s">
        <v>115</v>
      </c>
      <c r="E19" s="10" t="s">
        <v>116</v>
      </c>
      <c r="F19" s="10" t="s">
        <v>34</v>
      </c>
      <c r="G19" s="11" t="n">
        <v>2</v>
      </c>
      <c r="H19" s="9" t="s">
        <v>117</v>
      </c>
      <c r="I19" s="9"/>
    </row>
    <row r="20" customFormat="false" ht="24" hidden="false" customHeight="true" outlineLevel="0" collapsed="false">
      <c r="A20" s="9" t="s">
        <v>118</v>
      </c>
      <c r="B20" s="9" t="n">
        <v>3</v>
      </c>
      <c r="C20" s="10" t="s">
        <v>93</v>
      </c>
      <c r="D20" s="10" t="s">
        <v>119</v>
      </c>
      <c r="E20" s="10" t="s">
        <v>120</v>
      </c>
      <c r="F20" s="10" t="s">
        <v>34</v>
      </c>
      <c r="G20" s="11" t="n">
        <v>1</v>
      </c>
      <c r="H20" s="9" t="s">
        <v>114</v>
      </c>
      <c r="I20" s="9"/>
    </row>
    <row r="21" customFormat="false" ht="24" hidden="false" customHeight="true" outlineLevel="0" collapsed="false">
      <c r="A21" s="9" t="s">
        <v>121</v>
      </c>
      <c r="B21" s="9" t="n">
        <v>3</v>
      </c>
      <c r="C21" s="10" t="s">
        <v>89</v>
      </c>
      <c r="D21" s="10" t="s">
        <v>122</v>
      </c>
      <c r="E21" s="10" t="s">
        <v>123</v>
      </c>
      <c r="F21" s="10" t="s">
        <v>41</v>
      </c>
      <c r="G21" s="11" t="n">
        <v>1</v>
      </c>
      <c r="H21" s="9" t="s">
        <v>76</v>
      </c>
      <c r="I21" s="9"/>
    </row>
    <row r="22" customFormat="false" ht="24" hidden="false" customHeight="true" outlineLevel="0" collapsed="false">
      <c r="A22" s="9" t="s">
        <v>124</v>
      </c>
      <c r="B22" s="9" t="n">
        <v>3</v>
      </c>
      <c r="C22" s="10" t="s">
        <v>125</v>
      </c>
      <c r="D22" s="10" t="s">
        <v>126</v>
      </c>
      <c r="E22" s="10" t="s">
        <v>127</v>
      </c>
      <c r="F22" s="10" t="s">
        <v>29</v>
      </c>
      <c r="G22" s="11" t="n">
        <v>1.5</v>
      </c>
      <c r="H22" s="9" t="s">
        <v>111</v>
      </c>
      <c r="I22" s="9"/>
    </row>
    <row r="23" customFormat="false" ht="24" hidden="false" customHeight="true" outlineLevel="0" collapsed="false">
      <c r="A23" s="9" t="s">
        <v>128</v>
      </c>
      <c r="B23" s="9" t="n">
        <v>3</v>
      </c>
      <c r="C23" s="10" t="s">
        <v>100</v>
      </c>
      <c r="D23" s="10" t="s">
        <v>129</v>
      </c>
      <c r="E23" s="10" t="s">
        <v>130</v>
      </c>
      <c r="F23" s="10" t="s">
        <v>29</v>
      </c>
      <c r="G23" s="11" t="n">
        <v>1</v>
      </c>
      <c r="H23" s="9" t="s">
        <v>99</v>
      </c>
      <c r="I23" s="9"/>
    </row>
    <row r="24" customFormat="false" ht="24" hidden="false" customHeight="true" outlineLevel="0" collapsed="false">
      <c r="A24" s="12" t="s">
        <v>131</v>
      </c>
      <c r="B24" s="12" t="n">
        <v>4</v>
      </c>
      <c r="C24" s="13" t="s">
        <v>89</v>
      </c>
      <c r="D24" s="13" t="s">
        <v>132</v>
      </c>
      <c r="E24" s="13" t="s">
        <v>87</v>
      </c>
      <c r="F24" s="13" t="s">
        <v>41</v>
      </c>
      <c r="G24" s="14" t="n">
        <v>1.5</v>
      </c>
      <c r="H24" s="12" t="s">
        <v>76</v>
      </c>
      <c r="I24" s="12"/>
    </row>
    <row r="25" customFormat="false" ht="24" hidden="false" customHeight="true" outlineLevel="0" collapsed="false">
      <c r="A25" s="12" t="s">
        <v>133</v>
      </c>
      <c r="B25" s="12" t="n">
        <v>4</v>
      </c>
      <c r="C25" s="13" t="s">
        <v>93</v>
      </c>
      <c r="D25" s="13" t="s">
        <v>134</v>
      </c>
      <c r="E25" s="13" t="s">
        <v>135</v>
      </c>
      <c r="F25" s="13" t="s">
        <v>41</v>
      </c>
      <c r="G25" s="14" t="n">
        <v>2.5</v>
      </c>
      <c r="H25" s="12" t="s">
        <v>131</v>
      </c>
      <c r="I25" s="12"/>
    </row>
    <row r="26" customFormat="false" ht="24" hidden="false" customHeight="true" outlineLevel="0" collapsed="false">
      <c r="A26" s="12" t="s">
        <v>136</v>
      </c>
      <c r="B26" s="12" t="n">
        <v>4</v>
      </c>
      <c r="C26" s="13" t="s">
        <v>93</v>
      </c>
      <c r="D26" s="13" t="s">
        <v>137</v>
      </c>
      <c r="E26" s="13" t="s">
        <v>138</v>
      </c>
      <c r="F26" s="13" t="s">
        <v>34</v>
      </c>
      <c r="G26" s="14" t="n">
        <v>2</v>
      </c>
      <c r="H26" s="12" t="s">
        <v>131</v>
      </c>
      <c r="I26" s="12"/>
    </row>
    <row r="27" customFormat="false" ht="24" hidden="false" customHeight="true" outlineLevel="0" collapsed="false">
      <c r="A27" s="12" t="s">
        <v>139</v>
      </c>
      <c r="B27" s="12" t="n">
        <v>4</v>
      </c>
      <c r="C27" s="13" t="s">
        <v>108</v>
      </c>
      <c r="D27" s="13" t="s">
        <v>140</v>
      </c>
      <c r="E27" s="13" t="s">
        <v>141</v>
      </c>
      <c r="F27" s="13" t="s">
        <v>41</v>
      </c>
      <c r="G27" s="14" t="n">
        <v>1.5</v>
      </c>
      <c r="H27" s="12" t="s">
        <v>131</v>
      </c>
      <c r="I27" s="12"/>
    </row>
    <row r="28" customFormat="false" ht="24" hidden="false" customHeight="true" outlineLevel="0" collapsed="false">
      <c r="A28" s="12" t="s">
        <v>142</v>
      </c>
      <c r="B28" s="12" t="n">
        <v>4</v>
      </c>
      <c r="C28" s="13" t="s">
        <v>64</v>
      </c>
      <c r="D28" s="13" t="s">
        <v>143</v>
      </c>
      <c r="E28" s="13" t="s">
        <v>144</v>
      </c>
      <c r="F28" s="13" t="s">
        <v>29</v>
      </c>
      <c r="G28" s="14" t="n">
        <v>1.5</v>
      </c>
      <c r="H28" s="12"/>
      <c r="I28" s="12"/>
    </row>
    <row r="29" customFormat="false" ht="24" hidden="false" customHeight="true" outlineLevel="0" collapsed="false">
      <c r="A29" s="9" t="s">
        <v>145</v>
      </c>
      <c r="B29" s="9" t="n">
        <v>5</v>
      </c>
      <c r="C29" s="10" t="s">
        <v>93</v>
      </c>
      <c r="D29" s="10" t="s">
        <v>146</v>
      </c>
      <c r="E29" s="10" t="s">
        <v>147</v>
      </c>
      <c r="F29" s="10" t="s">
        <v>41</v>
      </c>
      <c r="G29" s="11" t="n">
        <v>2.5</v>
      </c>
      <c r="H29" s="9" t="s">
        <v>133</v>
      </c>
      <c r="I29" s="9"/>
    </row>
    <row r="30" customFormat="false" ht="24" hidden="false" customHeight="true" outlineLevel="0" collapsed="false">
      <c r="A30" s="9" t="s">
        <v>148</v>
      </c>
      <c r="B30" s="9" t="n">
        <v>5</v>
      </c>
      <c r="C30" s="10" t="s">
        <v>93</v>
      </c>
      <c r="D30" s="10" t="s">
        <v>149</v>
      </c>
      <c r="E30" s="10" t="s">
        <v>150</v>
      </c>
      <c r="F30" s="10" t="s">
        <v>41</v>
      </c>
      <c r="G30" s="11" t="n">
        <v>1.5</v>
      </c>
      <c r="H30" s="9" t="s">
        <v>145</v>
      </c>
      <c r="I30" s="9"/>
    </row>
    <row r="31" customFormat="false" ht="24" hidden="false" customHeight="true" outlineLevel="0" collapsed="false">
      <c r="A31" s="9" t="s">
        <v>151</v>
      </c>
      <c r="B31" s="9" t="n">
        <v>5</v>
      </c>
      <c r="C31" s="10" t="s">
        <v>93</v>
      </c>
      <c r="D31" s="10" t="s">
        <v>152</v>
      </c>
      <c r="E31" s="10" t="s">
        <v>153</v>
      </c>
      <c r="F31" s="10" t="s">
        <v>34</v>
      </c>
      <c r="G31" s="11" t="n">
        <v>2</v>
      </c>
      <c r="H31" s="9" t="s">
        <v>139</v>
      </c>
      <c r="I31" s="9"/>
    </row>
    <row r="32" customFormat="false" ht="24" hidden="false" customHeight="true" outlineLevel="0" collapsed="false">
      <c r="A32" s="9" t="s">
        <v>154</v>
      </c>
      <c r="B32" s="9" t="n">
        <v>5</v>
      </c>
      <c r="C32" s="10" t="s">
        <v>89</v>
      </c>
      <c r="D32" s="10" t="s">
        <v>155</v>
      </c>
      <c r="E32" s="10" t="s">
        <v>156</v>
      </c>
      <c r="F32" s="10" t="s">
        <v>34</v>
      </c>
      <c r="G32" s="11" t="n">
        <v>1.5</v>
      </c>
      <c r="H32" s="9" t="s">
        <v>145</v>
      </c>
      <c r="I32" s="9"/>
    </row>
    <row r="33" customFormat="false" ht="24" hidden="false" customHeight="true" outlineLevel="0" collapsed="false">
      <c r="A33" s="9" t="s">
        <v>157</v>
      </c>
      <c r="B33" s="9" t="n">
        <v>5</v>
      </c>
      <c r="C33" s="10" t="s">
        <v>125</v>
      </c>
      <c r="D33" s="10" t="s">
        <v>158</v>
      </c>
      <c r="E33" s="10" t="s">
        <v>159</v>
      </c>
      <c r="F33" s="10" t="s">
        <v>29</v>
      </c>
      <c r="G33" s="11" t="n">
        <v>1.5</v>
      </c>
      <c r="H33" s="9" t="s">
        <v>145</v>
      </c>
      <c r="I33" s="9"/>
    </row>
    <row r="34" customFormat="false" ht="24" hidden="false" customHeight="true" outlineLevel="0" collapsed="false">
      <c r="A34" s="12" t="s">
        <v>160</v>
      </c>
      <c r="B34" s="12" t="n">
        <v>6</v>
      </c>
      <c r="C34" s="13" t="s">
        <v>93</v>
      </c>
      <c r="D34" s="13" t="s">
        <v>161</v>
      </c>
      <c r="E34" s="13" t="s">
        <v>162</v>
      </c>
      <c r="F34" s="13" t="s">
        <v>34</v>
      </c>
      <c r="G34" s="14" t="n">
        <v>2.5</v>
      </c>
      <c r="H34" s="12" t="s">
        <v>81</v>
      </c>
      <c r="I34" s="12"/>
    </row>
    <row r="35" customFormat="false" ht="24" hidden="false" customHeight="true" outlineLevel="0" collapsed="false">
      <c r="A35" s="12" t="s">
        <v>163</v>
      </c>
      <c r="B35" s="12" t="n">
        <v>6</v>
      </c>
      <c r="C35" s="13" t="s">
        <v>93</v>
      </c>
      <c r="D35" s="13" t="s">
        <v>164</v>
      </c>
      <c r="E35" s="13" t="s">
        <v>165</v>
      </c>
      <c r="F35" s="13" t="s">
        <v>34</v>
      </c>
      <c r="G35" s="14" t="n">
        <v>1.5</v>
      </c>
      <c r="H35" s="12" t="s">
        <v>160</v>
      </c>
      <c r="I35" s="12"/>
    </row>
    <row r="36" customFormat="false" ht="24" hidden="false" customHeight="true" outlineLevel="0" collapsed="false">
      <c r="A36" s="12" t="s">
        <v>166</v>
      </c>
      <c r="B36" s="12" t="n">
        <v>6</v>
      </c>
      <c r="C36" s="13" t="s">
        <v>93</v>
      </c>
      <c r="D36" s="13" t="s">
        <v>167</v>
      </c>
      <c r="E36" s="13" t="s">
        <v>165</v>
      </c>
      <c r="F36" s="13" t="s">
        <v>41</v>
      </c>
      <c r="G36" s="14" t="n">
        <v>1.5</v>
      </c>
      <c r="H36" s="12" t="s">
        <v>145</v>
      </c>
      <c r="I36" s="12"/>
    </row>
    <row r="37" customFormat="false" ht="24" hidden="false" customHeight="true" outlineLevel="0" collapsed="false">
      <c r="A37" s="12" t="s">
        <v>168</v>
      </c>
      <c r="B37" s="12" t="n">
        <v>6</v>
      </c>
      <c r="C37" s="13" t="s">
        <v>169</v>
      </c>
      <c r="D37" s="13" t="s">
        <v>170</v>
      </c>
      <c r="E37" s="13" t="s">
        <v>171</v>
      </c>
      <c r="F37" s="13" t="s">
        <v>80</v>
      </c>
      <c r="G37" s="14" t="n">
        <v>1</v>
      </c>
      <c r="H37" s="12" t="s">
        <v>160</v>
      </c>
      <c r="I37" s="12"/>
    </row>
    <row r="38" customFormat="false" ht="24" hidden="false" customHeight="true" outlineLevel="0" collapsed="false">
      <c r="A38" s="12" t="s">
        <v>172</v>
      </c>
      <c r="B38" s="12" t="n">
        <v>6</v>
      </c>
      <c r="C38" s="13" t="s">
        <v>100</v>
      </c>
      <c r="D38" s="13" t="s">
        <v>173</v>
      </c>
      <c r="E38" s="13" t="s">
        <v>130</v>
      </c>
      <c r="F38" s="13" t="s">
        <v>29</v>
      </c>
      <c r="G38" s="14" t="n">
        <v>1.5</v>
      </c>
      <c r="H38" s="12" t="s">
        <v>151</v>
      </c>
      <c r="I38" s="12"/>
    </row>
    <row r="39" customFormat="false" ht="24" hidden="false" customHeight="true" outlineLevel="0" collapsed="false">
      <c r="A39" s="9" t="s">
        <v>174</v>
      </c>
      <c r="B39" s="9" t="n">
        <v>7</v>
      </c>
      <c r="C39" s="10" t="s">
        <v>125</v>
      </c>
      <c r="D39" s="10" t="s">
        <v>175</v>
      </c>
      <c r="E39" s="10" t="s">
        <v>176</v>
      </c>
      <c r="F39" s="10" t="s">
        <v>29</v>
      </c>
      <c r="G39" s="11" t="n">
        <v>3</v>
      </c>
      <c r="H39" s="9" t="s">
        <v>157</v>
      </c>
      <c r="I39" s="9"/>
    </row>
    <row r="40" customFormat="false" ht="24" hidden="false" customHeight="true" outlineLevel="0" collapsed="false">
      <c r="A40" s="9" t="s">
        <v>177</v>
      </c>
      <c r="B40" s="9" t="n">
        <v>7</v>
      </c>
      <c r="C40" s="10" t="s">
        <v>169</v>
      </c>
      <c r="D40" s="10" t="s">
        <v>178</v>
      </c>
      <c r="E40" s="10" t="s">
        <v>179</v>
      </c>
      <c r="F40" s="10" t="s">
        <v>34</v>
      </c>
      <c r="G40" s="11" t="n">
        <v>2.5</v>
      </c>
      <c r="H40" s="9" t="s">
        <v>174</v>
      </c>
      <c r="I40" s="9"/>
    </row>
    <row r="41" customFormat="false" ht="24" hidden="false" customHeight="true" outlineLevel="0" collapsed="false">
      <c r="A41" s="9" t="s">
        <v>180</v>
      </c>
      <c r="B41" s="9" t="n">
        <v>7</v>
      </c>
      <c r="C41" s="10" t="s">
        <v>169</v>
      </c>
      <c r="D41" s="10" t="s">
        <v>178</v>
      </c>
      <c r="E41" s="10" t="s">
        <v>179</v>
      </c>
      <c r="F41" s="10" t="s">
        <v>41</v>
      </c>
      <c r="G41" s="11" t="n">
        <v>2.5</v>
      </c>
      <c r="H41" s="9" t="s">
        <v>174</v>
      </c>
      <c r="I41" s="9"/>
    </row>
    <row r="42" customFormat="false" ht="24" hidden="false" customHeight="true" outlineLevel="0" collapsed="false">
      <c r="A42" s="9" t="s">
        <v>181</v>
      </c>
      <c r="B42" s="9" t="n">
        <v>7</v>
      </c>
      <c r="C42" s="10" t="s">
        <v>77</v>
      </c>
      <c r="D42" s="10" t="s">
        <v>182</v>
      </c>
      <c r="E42" s="10" t="s">
        <v>183</v>
      </c>
      <c r="F42" s="10" t="s">
        <v>80</v>
      </c>
      <c r="G42" s="11" t="n">
        <v>1</v>
      </c>
      <c r="H42" s="9" t="s">
        <v>177</v>
      </c>
      <c r="I42" s="9"/>
    </row>
    <row r="43" customFormat="false" ht="24" hidden="false" customHeight="true" outlineLevel="0" collapsed="false">
      <c r="A43" s="9" t="s">
        <v>184</v>
      </c>
      <c r="B43" s="9" t="n">
        <v>7</v>
      </c>
      <c r="C43" s="10" t="s">
        <v>125</v>
      </c>
      <c r="D43" s="10" t="s">
        <v>185</v>
      </c>
      <c r="E43" s="10" t="s">
        <v>186</v>
      </c>
      <c r="F43" s="10" t="s">
        <v>29</v>
      </c>
      <c r="G43" s="11" t="n">
        <v>0.5</v>
      </c>
      <c r="H43" s="9" t="s">
        <v>174</v>
      </c>
      <c r="I43" s="9"/>
    </row>
    <row r="44" customFormat="false" ht="24" hidden="false" customHeight="true" outlineLevel="0" collapsed="false">
      <c r="A44" s="12" t="s">
        <v>187</v>
      </c>
      <c r="B44" s="12" t="n">
        <v>8</v>
      </c>
      <c r="C44" s="13" t="s">
        <v>8</v>
      </c>
      <c r="D44" s="13" t="s">
        <v>188</v>
      </c>
      <c r="E44" s="13" t="s">
        <v>189</v>
      </c>
      <c r="F44" s="13" t="s">
        <v>54</v>
      </c>
      <c r="G44" s="14" t="n">
        <v>1</v>
      </c>
      <c r="H44" s="12" t="s">
        <v>181</v>
      </c>
      <c r="I44" s="12"/>
    </row>
    <row r="45" customFormat="false" ht="24" hidden="false" customHeight="true" outlineLevel="0" collapsed="false">
      <c r="A45" s="12" t="s">
        <v>190</v>
      </c>
      <c r="B45" s="12" t="n">
        <v>8</v>
      </c>
      <c r="C45" s="13" t="s">
        <v>191</v>
      </c>
      <c r="D45" s="13" t="s">
        <v>192</v>
      </c>
      <c r="E45" s="13" t="s">
        <v>193</v>
      </c>
      <c r="F45" s="13" t="s">
        <v>34</v>
      </c>
      <c r="G45" s="14" t="n">
        <v>3</v>
      </c>
      <c r="H45" s="12" t="s">
        <v>187</v>
      </c>
      <c r="I45" s="12"/>
    </row>
    <row r="46" customFormat="false" ht="24" hidden="false" customHeight="true" outlineLevel="0" collapsed="false">
      <c r="A46" s="12" t="s">
        <v>194</v>
      </c>
      <c r="B46" s="12" t="n">
        <v>8</v>
      </c>
      <c r="C46" s="13" t="s">
        <v>191</v>
      </c>
      <c r="D46" s="13" t="s">
        <v>195</v>
      </c>
      <c r="E46" s="13" t="s">
        <v>193</v>
      </c>
      <c r="F46" s="13" t="s">
        <v>41</v>
      </c>
      <c r="G46" s="14" t="n">
        <v>3</v>
      </c>
      <c r="H46" s="12" t="s">
        <v>187</v>
      </c>
      <c r="I46" s="12"/>
    </row>
    <row r="47" customFormat="false" ht="24" hidden="false" customHeight="true" outlineLevel="0" collapsed="false">
      <c r="A47" s="12" t="s">
        <v>196</v>
      </c>
      <c r="B47" s="12" t="n">
        <v>8</v>
      </c>
      <c r="C47" s="13" t="s">
        <v>191</v>
      </c>
      <c r="D47" s="13" t="s">
        <v>197</v>
      </c>
      <c r="E47" s="13" t="s">
        <v>198</v>
      </c>
      <c r="F47" s="13" t="s">
        <v>29</v>
      </c>
      <c r="G47" s="14" t="n">
        <v>1</v>
      </c>
      <c r="H47" s="12" t="s">
        <v>190</v>
      </c>
      <c r="I47" s="12"/>
    </row>
    <row r="48" customFormat="false" ht="15" hidden="false" customHeight="false" outlineLevel="0" collapsed="false">
      <c r="A48" s="15"/>
      <c r="B48" s="15"/>
      <c r="C48" s="15"/>
      <c r="D48" s="16" t="s">
        <v>199</v>
      </c>
      <c r="E48" s="15"/>
      <c r="F48" s="15"/>
      <c r="G48" s="17" t="n">
        <f aca="false">SUM(G5:G47)</f>
        <v>72</v>
      </c>
      <c r="H48" s="15"/>
      <c r="I48" s="15"/>
    </row>
  </sheetData>
  <autoFilter ref="A4:I47"/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5:I47" type="list">
      <formula1>"Belum,Berjalan,Selesai,Blocked"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9.5" hidden="false" customHeight="true" outlineLevel="0" collapsed="false">
      <c r="A1" s="1" t="s">
        <v>200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6" t="s">
        <v>21</v>
      </c>
      <c r="B4" s="6" t="s">
        <v>22</v>
      </c>
      <c r="C4" s="6" t="s">
        <v>80</v>
      </c>
      <c r="D4" s="6" t="s">
        <v>34</v>
      </c>
      <c r="E4" s="6" t="s">
        <v>41</v>
      </c>
      <c r="F4" s="6" t="s">
        <v>29</v>
      </c>
      <c r="G4" s="6" t="s">
        <v>202</v>
      </c>
    </row>
    <row r="5" customFormat="false" ht="15" hidden="false" customHeight="false" outlineLevel="0" collapsed="false">
      <c r="A5" s="18" t="n">
        <v>1</v>
      </c>
      <c r="B5" s="19" t="s">
        <v>26</v>
      </c>
      <c r="C5" s="20" t="n">
        <f aca="false">SUMIFS('Rencana Kerja'!$G$5:$G$47,'Rencana Kerja'!$B$5:$B$47,$A5,'Rencana Kerja'!$F$5:$F$47,"Tech Lead")</f>
        <v>2.5</v>
      </c>
      <c r="D5" s="20" t="n">
        <f aca="false">SUMIFS('Rencana Kerja'!$G$5:$G$47,'Rencana Kerja'!$B$5:$B$47,$A5,'Rencana Kerja'!$F$5:$F$47,"Dev 1")</f>
        <v>0</v>
      </c>
      <c r="E5" s="20" t="n">
        <f aca="false">SUMIFS('Rencana Kerja'!$G$5:$G$47,'Rencana Kerja'!$B$5:$B$47,$A5,'Rencana Kerja'!$F$5:$F$47,"Dev 2")</f>
        <v>0</v>
      </c>
      <c r="F5" s="20" t="n">
        <f aca="false">SUMIFS('Rencana Kerja'!$G$5:$G$47,'Rencana Kerja'!$B$5:$B$47,$A5,'Rencana Kerja'!$F$5:$F$47,"BA/QA")</f>
        <v>6.5</v>
      </c>
      <c r="G5" s="21" t="n">
        <f aca="false">SUM(C5:F5)</f>
        <v>9</v>
      </c>
    </row>
    <row r="6" customFormat="false" ht="15" hidden="false" customHeight="false" outlineLevel="0" collapsed="false">
      <c r="A6" s="18" t="n">
        <v>2</v>
      </c>
      <c r="B6" s="19" t="s">
        <v>31</v>
      </c>
      <c r="C6" s="20" t="n">
        <f aca="false">SUMIFS('Rencana Kerja'!$G$5:$G$47,'Rencana Kerja'!$B$5:$B$47,$A6,'Rencana Kerja'!$F$5:$F$47,"Tech Lead")</f>
        <v>0</v>
      </c>
      <c r="D6" s="20" t="n">
        <f aca="false">SUMIFS('Rencana Kerja'!$G$5:$G$47,'Rencana Kerja'!$B$5:$B$47,$A6,'Rencana Kerja'!$F$5:$F$47,"Dev 1")</f>
        <v>4</v>
      </c>
      <c r="E6" s="20" t="n">
        <f aca="false">SUMIFS('Rencana Kerja'!$G$5:$G$47,'Rencana Kerja'!$B$5:$B$47,$A6,'Rencana Kerja'!$F$5:$F$47,"Dev 2")</f>
        <v>3</v>
      </c>
      <c r="F6" s="20" t="n">
        <f aca="false">SUMIFS('Rencana Kerja'!$G$5:$G$47,'Rencana Kerja'!$B$5:$B$47,$A6,'Rencana Kerja'!$F$5:$F$47,"BA/QA")</f>
        <v>1.5</v>
      </c>
      <c r="G6" s="21" t="n">
        <f aca="false">SUM(C6:F6)</f>
        <v>8.5</v>
      </c>
    </row>
    <row r="7" customFormat="false" ht="15" hidden="false" customHeight="false" outlineLevel="0" collapsed="false">
      <c r="A7" s="18" t="n">
        <v>3</v>
      </c>
      <c r="B7" s="19" t="s">
        <v>35</v>
      </c>
      <c r="C7" s="20" t="n">
        <f aca="false">SUMIFS('Rencana Kerja'!$G$5:$G$47,'Rencana Kerja'!$B$5:$B$47,$A7,'Rencana Kerja'!$F$5:$F$47,"Tech Lead")</f>
        <v>0</v>
      </c>
      <c r="D7" s="20" t="n">
        <f aca="false">SUMIFS('Rencana Kerja'!$G$5:$G$47,'Rencana Kerja'!$B$5:$B$47,$A7,'Rencana Kerja'!$F$5:$F$47,"Dev 1")</f>
        <v>5.5</v>
      </c>
      <c r="E7" s="20" t="n">
        <f aca="false">SUMIFS('Rencana Kerja'!$G$5:$G$47,'Rencana Kerja'!$B$5:$B$47,$A7,'Rencana Kerja'!$F$5:$F$47,"Dev 2")</f>
        <v>1</v>
      </c>
      <c r="F7" s="20" t="n">
        <f aca="false">SUMIFS('Rencana Kerja'!$G$5:$G$47,'Rencana Kerja'!$B$5:$B$47,$A7,'Rencana Kerja'!$F$5:$F$47,"BA/QA")</f>
        <v>2.5</v>
      </c>
      <c r="G7" s="21" t="n">
        <f aca="false">SUM(C7:F7)</f>
        <v>9</v>
      </c>
    </row>
    <row r="8" customFormat="false" ht="15" hidden="false" customHeight="false" outlineLevel="0" collapsed="false">
      <c r="A8" s="18" t="n">
        <v>4</v>
      </c>
      <c r="B8" s="19" t="s">
        <v>38</v>
      </c>
      <c r="C8" s="20" t="n">
        <f aca="false">SUMIFS('Rencana Kerja'!$G$5:$G$47,'Rencana Kerja'!$B$5:$B$47,$A8,'Rencana Kerja'!$F$5:$F$47,"Tech Lead")</f>
        <v>0</v>
      </c>
      <c r="D8" s="20" t="n">
        <f aca="false">SUMIFS('Rencana Kerja'!$G$5:$G$47,'Rencana Kerja'!$B$5:$B$47,$A8,'Rencana Kerja'!$F$5:$F$47,"Dev 1")</f>
        <v>2</v>
      </c>
      <c r="E8" s="20" t="n">
        <f aca="false">SUMIFS('Rencana Kerja'!$G$5:$G$47,'Rencana Kerja'!$B$5:$B$47,$A8,'Rencana Kerja'!$F$5:$F$47,"Dev 2")</f>
        <v>5.5</v>
      </c>
      <c r="F8" s="20" t="n">
        <f aca="false">SUMIFS('Rencana Kerja'!$G$5:$G$47,'Rencana Kerja'!$B$5:$B$47,$A8,'Rencana Kerja'!$F$5:$F$47,"BA/QA")</f>
        <v>1.5</v>
      </c>
      <c r="G8" s="21" t="n">
        <f aca="false">SUM(C8:F8)</f>
        <v>9</v>
      </c>
    </row>
    <row r="9" customFormat="false" ht="15" hidden="false" customHeight="false" outlineLevel="0" collapsed="false">
      <c r="A9" s="18" t="n">
        <v>5</v>
      </c>
      <c r="B9" s="19" t="s">
        <v>42</v>
      </c>
      <c r="C9" s="20" t="n">
        <f aca="false">SUMIFS('Rencana Kerja'!$G$5:$G$47,'Rencana Kerja'!$B$5:$B$47,$A9,'Rencana Kerja'!$F$5:$F$47,"Tech Lead")</f>
        <v>0</v>
      </c>
      <c r="D9" s="20" t="n">
        <f aca="false">SUMIFS('Rencana Kerja'!$G$5:$G$47,'Rencana Kerja'!$B$5:$B$47,$A9,'Rencana Kerja'!$F$5:$F$47,"Dev 1")</f>
        <v>3.5</v>
      </c>
      <c r="E9" s="20" t="n">
        <f aca="false">SUMIFS('Rencana Kerja'!$G$5:$G$47,'Rencana Kerja'!$B$5:$B$47,$A9,'Rencana Kerja'!$F$5:$F$47,"Dev 2")</f>
        <v>4</v>
      </c>
      <c r="F9" s="20" t="n">
        <f aca="false">SUMIFS('Rencana Kerja'!$G$5:$G$47,'Rencana Kerja'!$B$5:$B$47,$A9,'Rencana Kerja'!$F$5:$F$47,"BA/QA")</f>
        <v>1.5</v>
      </c>
      <c r="G9" s="21" t="n">
        <f aca="false">SUM(C9:F9)</f>
        <v>9</v>
      </c>
    </row>
    <row r="10" customFormat="false" ht="15" hidden="false" customHeight="false" outlineLevel="0" collapsed="false">
      <c r="A10" s="18" t="n">
        <v>6</v>
      </c>
      <c r="B10" s="19" t="s">
        <v>45</v>
      </c>
      <c r="C10" s="20" t="n">
        <f aca="false">SUMIFS('Rencana Kerja'!$G$5:$G$47,'Rencana Kerja'!$B$5:$B$47,$A10,'Rencana Kerja'!$F$5:$F$47,"Tech Lead")</f>
        <v>1</v>
      </c>
      <c r="D10" s="20" t="n">
        <f aca="false">SUMIFS('Rencana Kerja'!$G$5:$G$47,'Rencana Kerja'!$B$5:$B$47,$A10,'Rencana Kerja'!$F$5:$F$47,"Dev 1")</f>
        <v>4</v>
      </c>
      <c r="E10" s="20" t="n">
        <f aca="false">SUMIFS('Rencana Kerja'!$G$5:$G$47,'Rencana Kerja'!$B$5:$B$47,$A10,'Rencana Kerja'!$F$5:$F$47,"Dev 2")</f>
        <v>1.5</v>
      </c>
      <c r="F10" s="20" t="n">
        <f aca="false">SUMIFS('Rencana Kerja'!$G$5:$G$47,'Rencana Kerja'!$B$5:$B$47,$A10,'Rencana Kerja'!$F$5:$F$47,"BA/QA")</f>
        <v>1.5</v>
      </c>
      <c r="G10" s="21" t="n">
        <f aca="false">SUM(C10:F10)</f>
        <v>8</v>
      </c>
    </row>
    <row r="11" customFormat="false" ht="15" hidden="false" customHeight="false" outlineLevel="0" collapsed="false">
      <c r="A11" s="18" t="n">
        <v>7</v>
      </c>
      <c r="B11" s="19" t="s">
        <v>48</v>
      </c>
      <c r="C11" s="20" t="n">
        <f aca="false">SUMIFS('Rencana Kerja'!$G$5:$G$47,'Rencana Kerja'!$B$5:$B$47,$A11,'Rencana Kerja'!$F$5:$F$47,"Tech Lead")</f>
        <v>1</v>
      </c>
      <c r="D11" s="20" t="n">
        <f aca="false">SUMIFS('Rencana Kerja'!$G$5:$G$47,'Rencana Kerja'!$B$5:$B$47,$A11,'Rencana Kerja'!$F$5:$F$47,"Dev 1")</f>
        <v>2.5</v>
      </c>
      <c r="E11" s="20" t="n">
        <f aca="false">SUMIFS('Rencana Kerja'!$G$5:$G$47,'Rencana Kerja'!$B$5:$B$47,$A11,'Rencana Kerja'!$F$5:$F$47,"Dev 2")</f>
        <v>2.5</v>
      </c>
      <c r="F11" s="20" t="n">
        <f aca="false">SUMIFS('Rencana Kerja'!$G$5:$G$47,'Rencana Kerja'!$B$5:$B$47,$A11,'Rencana Kerja'!$F$5:$F$47,"BA/QA")</f>
        <v>3.5</v>
      </c>
      <c r="G11" s="21" t="n">
        <f aca="false">SUM(C11:F11)</f>
        <v>9.5</v>
      </c>
    </row>
    <row r="12" customFormat="false" ht="15" hidden="false" customHeight="false" outlineLevel="0" collapsed="false">
      <c r="A12" s="18" t="n">
        <v>8</v>
      </c>
      <c r="B12" s="19" t="s">
        <v>51</v>
      </c>
      <c r="C12" s="20" t="n">
        <f aca="false">SUMIFS('Rencana Kerja'!$G$5:$G$47,'Rencana Kerja'!$B$5:$B$47,$A12,'Rencana Kerja'!$F$5:$F$47,"Tech Lead")</f>
        <v>0</v>
      </c>
      <c r="D12" s="20" t="n">
        <f aca="false">SUMIFS('Rencana Kerja'!$G$5:$G$47,'Rencana Kerja'!$B$5:$B$47,$A12,'Rencana Kerja'!$F$5:$F$47,"Dev 1")</f>
        <v>3</v>
      </c>
      <c r="E12" s="20" t="n">
        <f aca="false">SUMIFS('Rencana Kerja'!$G$5:$G$47,'Rencana Kerja'!$B$5:$B$47,$A12,'Rencana Kerja'!$F$5:$F$47,"Dev 2")</f>
        <v>3</v>
      </c>
      <c r="F12" s="20" t="n">
        <f aca="false">SUMIFS('Rencana Kerja'!$G$5:$G$47,'Rencana Kerja'!$B$5:$B$47,$A12,'Rencana Kerja'!$F$5:$F$47,"BA/QA")</f>
        <v>1</v>
      </c>
      <c r="G12" s="21" t="n">
        <f aca="false">SUM(C12:F12)</f>
        <v>7</v>
      </c>
    </row>
    <row r="13" customFormat="false" ht="15" hidden="false" customHeight="false" outlineLevel="0" collapsed="false">
      <c r="A13" s="22"/>
      <c r="B13" s="23" t="s">
        <v>203</v>
      </c>
      <c r="C13" s="24" t="n">
        <f aca="false">SUM(C5:C12)</f>
        <v>4.5</v>
      </c>
      <c r="D13" s="24" t="n">
        <f aca="false">SUM(D5:D12)</f>
        <v>24.5</v>
      </c>
      <c r="E13" s="24" t="n">
        <f aca="false">SUM(E5:E12)</f>
        <v>20.5</v>
      </c>
      <c r="F13" s="24" t="n">
        <f aca="false">SUM(F5:F12)</f>
        <v>19.5</v>
      </c>
      <c r="G13" s="24" t="n">
        <f aca="false">SUM(G5:G12)</f>
        <v>69</v>
      </c>
    </row>
    <row r="15" customFormat="false" ht="15" hidden="false" customHeight="true" outlineLevel="0" collapsed="false">
      <c r="A15" s="25" t="s">
        <v>204</v>
      </c>
      <c r="B15" s="25"/>
      <c r="C15" s="25"/>
      <c r="D15" s="25"/>
      <c r="E15" s="25"/>
      <c r="F15" s="25"/>
      <c r="G15" s="25"/>
    </row>
  </sheetData>
  <mergeCells count="3">
    <mergeCell ref="A1:G1"/>
    <mergeCell ref="A2:G2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206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207</v>
      </c>
      <c r="B4" s="6" t="s">
        <v>80</v>
      </c>
      <c r="C4" s="6" t="s">
        <v>169</v>
      </c>
      <c r="D4" s="6" t="s">
        <v>29</v>
      </c>
      <c r="E4" s="6" t="s">
        <v>208</v>
      </c>
      <c r="F4" s="6" t="s">
        <v>209</v>
      </c>
      <c r="G4" s="6" t="s">
        <v>103</v>
      </c>
      <c r="H4" s="6" t="s">
        <v>210</v>
      </c>
    </row>
    <row r="5" customFormat="false" ht="21.75" hidden="false" customHeight="true" outlineLevel="0" collapsed="false">
      <c r="A5" s="26" t="s">
        <v>211</v>
      </c>
      <c r="B5" s="27" t="s">
        <v>212</v>
      </c>
      <c r="C5" s="27" t="s">
        <v>212</v>
      </c>
      <c r="D5" s="27" t="s">
        <v>213</v>
      </c>
      <c r="E5" s="28" t="s">
        <v>214</v>
      </c>
      <c r="F5" s="27" t="s">
        <v>215</v>
      </c>
      <c r="G5" s="27" t="s">
        <v>213</v>
      </c>
      <c r="H5" s="27" t="s">
        <v>212</v>
      </c>
    </row>
    <row r="6" customFormat="false" ht="21.75" hidden="false" customHeight="true" outlineLevel="0" collapsed="false">
      <c r="A6" s="26" t="s">
        <v>216</v>
      </c>
      <c r="B6" s="27" t="s">
        <v>215</v>
      </c>
      <c r="C6" s="27" t="s">
        <v>212</v>
      </c>
      <c r="D6" s="27" t="s">
        <v>215</v>
      </c>
      <c r="E6" s="27" t="s">
        <v>215</v>
      </c>
      <c r="F6" s="28" t="s">
        <v>217</v>
      </c>
      <c r="G6" s="27" t="s">
        <v>215</v>
      </c>
      <c r="H6" s="27" t="s">
        <v>212</v>
      </c>
    </row>
    <row r="7" customFormat="false" ht="21.75" hidden="false" customHeight="true" outlineLevel="0" collapsed="false">
      <c r="A7" s="26" t="s">
        <v>218</v>
      </c>
      <c r="B7" s="27" t="s">
        <v>212</v>
      </c>
      <c r="C7" s="27" t="s">
        <v>215</v>
      </c>
      <c r="D7" s="27" t="s">
        <v>213</v>
      </c>
      <c r="E7" s="27" t="s">
        <v>215</v>
      </c>
      <c r="F7" s="27" t="s">
        <v>212</v>
      </c>
      <c r="G7" s="28" t="s">
        <v>217</v>
      </c>
      <c r="H7" s="27" t="s">
        <v>215</v>
      </c>
    </row>
    <row r="8" customFormat="false" ht="21.75" hidden="false" customHeight="true" outlineLevel="0" collapsed="false">
      <c r="A8" s="26" t="s">
        <v>219</v>
      </c>
      <c r="B8" s="28" t="s">
        <v>214</v>
      </c>
      <c r="C8" s="27" t="s">
        <v>213</v>
      </c>
      <c r="D8" s="27" t="s">
        <v>215</v>
      </c>
      <c r="E8" s="27" t="s">
        <v>212</v>
      </c>
      <c r="F8" s="27" t="s">
        <v>215</v>
      </c>
      <c r="G8" s="27" t="s">
        <v>215</v>
      </c>
      <c r="H8" s="27" t="s">
        <v>212</v>
      </c>
    </row>
    <row r="9" customFormat="false" ht="21.75" hidden="false" customHeight="true" outlineLevel="0" collapsed="false">
      <c r="A9" s="26" t="s">
        <v>220</v>
      </c>
      <c r="B9" s="28" t="s">
        <v>214</v>
      </c>
      <c r="C9" s="27" t="s">
        <v>213</v>
      </c>
      <c r="D9" s="27" t="s">
        <v>215</v>
      </c>
      <c r="E9" s="27" t="s">
        <v>212</v>
      </c>
      <c r="F9" s="27" t="s">
        <v>212</v>
      </c>
      <c r="G9" s="27" t="s">
        <v>215</v>
      </c>
      <c r="H9" s="27" t="s">
        <v>215</v>
      </c>
    </row>
    <row r="10" customFormat="false" ht="21.75" hidden="false" customHeight="true" outlineLevel="0" collapsed="false">
      <c r="A10" s="26" t="s">
        <v>101</v>
      </c>
      <c r="B10" s="27" t="s">
        <v>212</v>
      </c>
      <c r="C10" s="27" t="s">
        <v>212</v>
      </c>
      <c r="D10" s="27" t="s">
        <v>215</v>
      </c>
      <c r="E10" s="28" t="s">
        <v>214</v>
      </c>
      <c r="F10" s="27" t="s">
        <v>215</v>
      </c>
      <c r="G10" s="27" t="s">
        <v>213</v>
      </c>
      <c r="H10" s="27" t="s">
        <v>212</v>
      </c>
    </row>
    <row r="11" customFormat="false" ht="21.75" hidden="false" customHeight="true" outlineLevel="0" collapsed="false">
      <c r="A11" s="26" t="s">
        <v>221</v>
      </c>
      <c r="B11" s="27" t="s">
        <v>212</v>
      </c>
      <c r="C11" s="27" t="s">
        <v>212</v>
      </c>
      <c r="D11" s="27" t="s">
        <v>213</v>
      </c>
      <c r="E11" s="27" t="s">
        <v>215</v>
      </c>
      <c r="F11" s="27" t="s">
        <v>215</v>
      </c>
      <c r="G11" s="27" t="s">
        <v>212</v>
      </c>
      <c r="H11" s="28" t="s">
        <v>222</v>
      </c>
    </row>
    <row r="12" customFormat="false" ht="21.75" hidden="false" customHeight="true" outlineLevel="0" collapsed="false">
      <c r="A12" s="26" t="s">
        <v>223</v>
      </c>
      <c r="B12" s="27" t="s">
        <v>215</v>
      </c>
      <c r="C12" s="27" t="s">
        <v>215</v>
      </c>
      <c r="D12" s="28" t="s">
        <v>217</v>
      </c>
      <c r="E12" s="27" t="s">
        <v>215</v>
      </c>
      <c r="F12" s="27" t="s">
        <v>213</v>
      </c>
      <c r="G12" s="27" t="s">
        <v>213</v>
      </c>
      <c r="H12" s="27" t="s">
        <v>213</v>
      </c>
    </row>
    <row r="13" customFormat="false" ht="21.75" hidden="false" customHeight="true" outlineLevel="0" collapsed="false">
      <c r="A13" s="26" t="s">
        <v>224</v>
      </c>
      <c r="B13" s="27" t="s">
        <v>212</v>
      </c>
      <c r="C13" s="27" t="s">
        <v>215</v>
      </c>
      <c r="D13" s="28" t="s">
        <v>217</v>
      </c>
      <c r="E13" s="27" t="s">
        <v>215</v>
      </c>
      <c r="F13" s="27" t="s">
        <v>212</v>
      </c>
      <c r="G13" s="27" t="s">
        <v>213</v>
      </c>
      <c r="H13" s="27" t="s">
        <v>213</v>
      </c>
    </row>
    <row r="14" customFormat="false" ht="21.75" hidden="false" customHeight="true" outlineLevel="0" collapsed="false">
      <c r="A14" s="26" t="s">
        <v>225</v>
      </c>
      <c r="B14" s="27" t="s">
        <v>215</v>
      </c>
      <c r="C14" s="27" t="s">
        <v>212</v>
      </c>
      <c r="D14" s="27" t="s">
        <v>213</v>
      </c>
      <c r="E14" s="28" t="s">
        <v>214</v>
      </c>
      <c r="F14" s="28" t="s">
        <v>214</v>
      </c>
      <c r="G14" s="27" t="s">
        <v>215</v>
      </c>
      <c r="H14" s="27" t="s">
        <v>215</v>
      </c>
    </row>
    <row r="15" customFormat="false" ht="21.75" hidden="false" customHeight="true" outlineLevel="0" collapsed="false">
      <c r="A15" s="26" t="s">
        <v>226</v>
      </c>
      <c r="B15" s="28" t="s">
        <v>214</v>
      </c>
      <c r="C15" s="27" t="s">
        <v>213</v>
      </c>
      <c r="D15" s="27" t="s">
        <v>215</v>
      </c>
      <c r="E15" s="27" t="s">
        <v>215</v>
      </c>
      <c r="F15" s="27" t="s">
        <v>215</v>
      </c>
      <c r="G15" s="27" t="s">
        <v>215</v>
      </c>
      <c r="H15" s="27" t="s">
        <v>215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false" outlineLevel="0" max="7" min="7" style="0" width="15"/>
    <col collapsed="false" customWidth="true" hidden="false" outlineLevel="0" max="8" min="8" style="0" width="10"/>
  </cols>
  <sheetData>
    <row r="1" customFormat="false" ht="19.5" hidden="false" customHeight="true" outlineLevel="0" collapsed="false">
      <c r="A1" s="1" t="s">
        <v>227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57</v>
      </c>
      <c r="B4" s="6" t="s">
        <v>229</v>
      </c>
      <c r="C4" s="6" t="s">
        <v>230</v>
      </c>
      <c r="D4" s="6" t="s">
        <v>231</v>
      </c>
      <c r="E4" s="6" t="s">
        <v>232</v>
      </c>
      <c r="F4" s="6" t="s">
        <v>233</v>
      </c>
      <c r="G4" s="6" t="s">
        <v>234</v>
      </c>
      <c r="H4" s="6" t="s">
        <v>235</v>
      </c>
    </row>
    <row r="5" customFormat="false" ht="31.5" hidden="false" customHeight="true" outlineLevel="0" collapsed="false">
      <c r="A5" s="29" t="s">
        <v>236</v>
      </c>
      <c r="B5" s="29" t="s">
        <v>237</v>
      </c>
      <c r="C5" s="30" t="s">
        <v>238</v>
      </c>
      <c r="D5" s="31" t="s">
        <v>239</v>
      </c>
      <c r="E5" s="29" t="s">
        <v>239</v>
      </c>
      <c r="F5" s="30" t="s">
        <v>240</v>
      </c>
      <c r="G5" s="30" t="s">
        <v>80</v>
      </c>
      <c r="H5" s="29" t="s">
        <v>241</v>
      </c>
    </row>
    <row r="6" customFormat="false" ht="31.5" hidden="false" customHeight="true" outlineLevel="0" collapsed="false">
      <c r="A6" s="29" t="s">
        <v>242</v>
      </c>
      <c r="B6" s="29" t="s">
        <v>237</v>
      </c>
      <c r="C6" s="30" t="s">
        <v>243</v>
      </c>
      <c r="D6" s="31" t="s">
        <v>239</v>
      </c>
      <c r="E6" s="29" t="s">
        <v>244</v>
      </c>
      <c r="F6" s="30" t="s">
        <v>245</v>
      </c>
      <c r="G6" s="30" t="s">
        <v>103</v>
      </c>
      <c r="H6" s="29" t="s">
        <v>241</v>
      </c>
    </row>
    <row r="7" customFormat="false" ht="31.5" hidden="false" customHeight="true" outlineLevel="0" collapsed="false">
      <c r="A7" s="29" t="s">
        <v>246</v>
      </c>
      <c r="B7" s="29" t="s">
        <v>237</v>
      </c>
      <c r="C7" s="30" t="s">
        <v>247</v>
      </c>
      <c r="D7" s="32" t="s">
        <v>244</v>
      </c>
      <c r="E7" s="29" t="s">
        <v>244</v>
      </c>
      <c r="F7" s="30" t="s">
        <v>248</v>
      </c>
      <c r="G7" s="30" t="s">
        <v>29</v>
      </c>
      <c r="H7" s="29" t="s">
        <v>249</v>
      </c>
    </row>
    <row r="8" customFormat="false" ht="31.5" hidden="false" customHeight="true" outlineLevel="0" collapsed="false">
      <c r="A8" s="29" t="s">
        <v>250</v>
      </c>
      <c r="B8" s="29" t="s">
        <v>237</v>
      </c>
      <c r="C8" s="30" t="s">
        <v>251</v>
      </c>
      <c r="D8" s="31" t="s">
        <v>239</v>
      </c>
      <c r="E8" s="29" t="s">
        <v>244</v>
      </c>
      <c r="F8" s="30" t="s">
        <v>252</v>
      </c>
      <c r="G8" s="30" t="s">
        <v>29</v>
      </c>
      <c r="H8" s="29" t="s">
        <v>249</v>
      </c>
    </row>
    <row r="9" customFormat="false" ht="31.5" hidden="false" customHeight="true" outlineLevel="0" collapsed="false">
      <c r="A9" s="29" t="s">
        <v>253</v>
      </c>
      <c r="B9" s="29" t="s">
        <v>237</v>
      </c>
      <c r="C9" s="30" t="s">
        <v>254</v>
      </c>
      <c r="D9" s="32" t="s">
        <v>244</v>
      </c>
      <c r="E9" s="29" t="s">
        <v>244</v>
      </c>
      <c r="F9" s="30" t="s">
        <v>255</v>
      </c>
      <c r="G9" s="30" t="s">
        <v>41</v>
      </c>
      <c r="H9" s="29" t="s">
        <v>256</v>
      </c>
    </row>
    <row r="10" customFormat="false" ht="31.5" hidden="false" customHeight="true" outlineLevel="0" collapsed="false">
      <c r="A10" s="29" t="s">
        <v>257</v>
      </c>
      <c r="B10" s="29" t="s">
        <v>237</v>
      </c>
      <c r="C10" s="30" t="s">
        <v>258</v>
      </c>
      <c r="D10" s="31" t="s">
        <v>239</v>
      </c>
      <c r="E10" s="29" t="s">
        <v>244</v>
      </c>
      <c r="F10" s="30" t="s">
        <v>259</v>
      </c>
      <c r="G10" s="30" t="s">
        <v>34</v>
      </c>
      <c r="H10" s="29" t="s">
        <v>260</v>
      </c>
    </row>
    <row r="11" customFormat="false" ht="31.5" hidden="false" customHeight="true" outlineLevel="0" collapsed="false">
      <c r="A11" s="33" t="s">
        <v>261</v>
      </c>
      <c r="B11" s="33" t="s">
        <v>262</v>
      </c>
      <c r="C11" s="34" t="s">
        <v>263</v>
      </c>
      <c r="D11" s="35" t="s">
        <v>239</v>
      </c>
      <c r="E11" s="33" t="s">
        <v>264</v>
      </c>
      <c r="F11" s="34" t="s">
        <v>265</v>
      </c>
      <c r="G11" s="34" t="s">
        <v>208</v>
      </c>
      <c r="H11" s="33" t="s">
        <v>266</v>
      </c>
    </row>
    <row r="12" customFormat="false" ht="31.5" hidden="false" customHeight="true" outlineLevel="0" collapsed="false">
      <c r="A12" s="33" t="s">
        <v>267</v>
      </c>
      <c r="B12" s="33" t="s">
        <v>262</v>
      </c>
      <c r="C12" s="34" t="s">
        <v>268</v>
      </c>
      <c r="D12" s="35" t="s">
        <v>239</v>
      </c>
      <c r="E12" s="33" t="s">
        <v>264</v>
      </c>
      <c r="F12" s="34" t="s">
        <v>269</v>
      </c>
      <c r="G12" s="34" t="s">
        <v>209</v>
      </c>
      <c r="H12" s="33" t="s">
        <v>241</v>
      </c>
    </row>
    <row r="13" customFormat="false" ht="31.5" hidden="false" customHeight="true" outlineLevel="0" collapsed="false">
      <c r="A13" s="33" t="s">
        <v>270</v>
      </c>
      <c r="B13" s="33" t="s">
        <v>262</v>
      </c>
      <c r="C13" s="34" t="s">
        <v>271</v>
      </c>
      <c r="D13" s="36" t="s">
        <v>244</v>
      </c>
      <c r="E13" s="33" t="s">
        <v>264</v>
      </c>
      <c r="F13" s="34" t="s">
        <v>272</v>
      </c>
      <c r="G13" s="34" t="s">
        <v>29</v>
      </c>
      <c r="H13" s="33" t="s">
        <v>266</v>
      </c>
    </row>
    <row r="14" customFormat="false" ht="31.5" hidden="false" customHeight="true" outlineLevel="0" collapsed="false">
      <c r="A14" s="37" t="s">
        <v>273</v>
      </c>
      <c r="B14" s="37" t="s">
        <v>274</v>
      </c>
      <c r="C14" s="38" t="s">
        <v>275</v>
      </c>
      <c r="D14" s="39" t="s">
        <v>239</v>
      </c>
      <c r="E14" s="37" t="s">
        <v>264</v>
      </c>
      <c r="F14" s="38" t="s">
        <v>276</v>
      </c>
      <c r="G14" s="38" t="s">
        <v>41</v>
      </c>
      <c r="H14" s="37" t="s">
        <v>241</v>
      </c>
    </row>
    <row r="15" customFormat="false" ht="31.5" hidden="false" customHeight="true" outlineLevel="0" collapsed="false">
      <c r="A15" s="37" t="s">
        <v>277</v>
      </c>
      <c r="B15" s="37" t="s">
        <v>274</v>
      </c>
      <c r="C15" s="38" t="s">
        <v>278</v>
      </c>
      <c r="D15" s="40" t="s">
        <v>244</v>
      </c>
      <c r="E15" s="37" t="s">
        <v>264</v>
      </c>
      <c r="F15" s="38" t="s">
        <v>279</v>
      </c>
      <c r="G15" s="38" t="s">
        <v>103</v>
      </c>
      <c r="H15" s="37" t="s">
        <v>266</v>
      </c>
    </row>
    <row r="16" customFormat="false" ht="31.5" hidden="false" customHeight="true" outlineLevel="0" collapsed="false">
      <c r="A16" s="41" t="s">
        <v>280</v>
      </c>
      <c r="B16" s="41" t="s">
        <v>281</v>
      </c>
      <c r="C16" s="42" t="s">
        <v>282</v>
      </c>
      <c r="D16" s="43" t="s">
        <v>239</v>
      </c>
      <c r="E16" s="41" t="s">
        <v>264</v>
      </c>
      <c r="F16" s="42" t="s">
        <v>283</v>
      </c>
      <c r="G16" s="42" t="s">
        <v>208</v>
      </c>
      <c r="H16" s="41" t="s">
        <v>266</v>
      </c>
    </row>
    <row r="17" customFormat="false" ht="31.5" hidden="false" customHeight="true" outlineLevel="0" collapsed="false">
      <c r="A17" s="41" t="s">
        <v>284</v>
      </c>
      <c r="B17" s="41" t="s">
        <v>281</v>
      </c>
      <c r="C17" s="42" t="s">
        <v>285</v>
      </c>
      <c r="D17" s="44" t="s">
        <v>244</v>
      </c>
      <c r="E17" s="41" t="s">
        <v>264</v>
      </c>
      <c r="F17" s="42" t="s">
        <v>286</v>
      </c>
      <c r="G17" s="42" t="s">
        <v>29</v>
      </c>
      <c r="H17" s="41" t="s">
        <v>249</v>
      </c>
    </row>
    <row r="18" customFormat="false" ht="31.5" hidden="false" customHeight="true" outlineLevel="0" collapsed="false">
      <c r="A18" s="41" t="s">
        <v>287</v>
      </c>
      <c r="B18" s="41" t="s">
        <v>281</v>
      </c>
      <c r="C18" s="42" t="s">
        <v>288</v>
      </c>
      <c r="D18" s="43" t="s">
        <v>239</v>
      </c>
      <c r="E18" s="41" t="s">
        <v>264</v>
      </c>
      <c r="F18" s="42" t="s">
        <v>289</v>
      </c>
      <c r="G18" s="42" t="s">
        <v>29</v>
      </c>
      <c r="H18" s="41" t="s">
        <v>249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" t="s">
        <v>290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291</v>
      </c>
      <c r="B2" s="2"/>
      <c r="C2" s="2"/>
      <c r="D2" s="2"/>
      <c r="E2" s="2"/>
    </row>
    <row r="4" customFormat="false" ht="30" hidden="false" customHeight="true" outlineLevel="0" collapsed="false">
      <c r="A4" s="6" t="s">
        <v>292</v>
      </c>
      <c r="B4" s="6" t="s">
        <v>293</v>
      </c>
      <c r="C4" s="6" t="s">
        <v>294</v>
      </c>
      <c r="D4" s="6" t="s">
        <v>295</v>
      </c>
      <c r="E4" s="6" t="s">
        <v>296</v>
      </c>
    </row>
    <row r="5" customFormat="false" ht="24" hidden="false" customHeight="true" outlineLevel="0" collapsed="false">
      <c r="A5" s="9" t="n">
        <v>1</v>
      </c>
      <c r="B5" s="10" t="s">
        <v>50</v>
      </c>
      <c r="C5" s="10" t="s">
        <v>297</v>
      </c>
      <c r="D5" s="10" t="s">
        <v>29</v>
      </c>
      <c r="E5" s="45"/>
    </row>
    <row r="6" customFormat="false" ht="24" hidden="false" customHeight="true" outlineLevel="0" collapsed="false">
      <c r="A6" s="9" t="n">
        <v>2</v>
      </c>
      <c r="B6" s="10" t="s">
        <v>298</v>
      </c>
      <c r="C6" s="10" t="s">
        <v>299</v>
      </c>
      <c r="D6" s="10" t="s">
        <v>209</v>
      </c>
      <c r="E6" s="45"/>
    </row>
    <row r="7" customFormat="false" ht="24" hidden="false" customHeight="true" outlineLevel="0" collapsed="false">
      <c r="A7" s="9" t="n">
        <v>3</v>
      </c>
      <c r="B7" s="10" t="s">
        <v>300</v>
      </c>
      <c r="C7" s="10" t="s">
        <v>301</v>
      </c>
      <c r="D7" s="10" t="s">
        <v>209</v>
      </c>
      <c r="E7" s="45"/>
    </row>
    <row r="8" customFormat="false" ht="24" hidden="false" customHeight="true" outlineLevel="0" collapsed="false">
      <c r="A8" s="9" t="n">
        <v>4</v>
      </c>
      <c r="B8" s="10" t="s">
        <v>302</v>
      </c>
      <c r="C8" s="10" t="s">
        <v>303</v>
      </c>
      <c r="D8" s="10" t="s">
        <v>103</v>
      </c>
      <c r="E8" s="45"/>
    </row>
    <row r="9" customFormat="false" ht="24" hidden="false" customHeight="true" outlineLevel="0" collapsed="false">
      <c r="A9" s="9" t="n">
        <v>5</v>
      </c>
      <c r="B9" s="10" t="s">
        <v>304</v>
      </c>
      <c r="C9" s="10" t="s">
        <v>305</v>
      </c>
      <c r="D9" s="10" t="s">
        <v>29</v>
      </c>
      <c r="E9" s="45"/>
    </row>
    <row r="10" customFormat="false" ht="24" hidden="false" customHeight="true" outlineLevel="0" collapsed="false">
      <c r="A10" s="9" t="n">
        <v>6</v>
      </c>
      <c r="B10" s="10" t="s">
        <v>306</v>
      </c>
      <c r="C10" s="10" t="s">
        <v>307</v>
      </c>
      <c r="D10" s="10" t="s">
        <v>210</v>
      </c>
      <c r="E10" s="45"/>
    </row>
    <row r="11" customFormat="false" ht="24" hidden="false" customHeight="true" outlineLevel="0" collapsed="false">
      <c r="A11" s="9" t="n">
        <v>7</v>
      </c>
      <c r="B11" s="10" t="s">
        <v>308</v>
      </c>
      <c r="C11" s="10" t="s">
        <v>309</v>
      </c>
      <c r="D11" s="10" t="s">
        <v>29</v>
      </c>
      <c r="E11" s="45"/>
    </row>
    <row r="12" customFormat="false" ht="24" hidden="false" customHeight="true" outlineLevel="0" collapsed="false">
      <c r="A12" s="9" t="n">
        <v>8</v>
      </c>
      <c r="B12" s="10" t="s">
        <v>310</v>
      </c>
      <c r="C12" s="10" t="s">
        <v>311</v>
      </c>
      <c r="D12" s="10" t="s">
        <v>210</v>
      </c>
      <c r="E12" s="45"/>
    </row>
    <row r="13" customFormat="false" ht="24" hidden="false" customHeight="true" outlineLevel="0" collapsed="false">
      <c r="A13" s="9" t="n">
        <v>9</v>
      </c>
      <c r="B13" s="10" t="s">
        <v>312</v>
      </c>
      <c r="C13" s="10" t="s">
        <v>313</v>
      </c>
      <c r="D13" s="10" t="s">
        <v>29</v>
      </c>
      <c r="E13" s="45"/>
    </row>
    <row r="14" customFormat="false" ht="24" hidden="false" customHeight="true" outlineLevel="0" collapsed="false">
      <c r="A14" s="9" t="n">
        <v>10</v>
      </c>
      <c r="B14" s="10" t="s">
        <v>314</v>
      </c>
      <c r="C14" s="10" t="s">
        <v>315</v>
      </c>
      <c r="D14" s="10" t="s">
        <v>208</v>
      </c>
      <c r="E14" s="45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5:E14" type="list">
      <formula1>"Ya,Belum,N/A"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2026-08-15T12:26:30Z</dcterms:created>
  <dc:creator>openpyxl</dc:creator>
  <dc:description/>
  <dc:language>en-US</dc:language>
  <cp:lastModifiedBy/>
  <dcterms:modified xsi:type="dcterms:W3CDTF">2026-08-15T12:26:30Z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